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Cart细胞" sheetId="1" state="visible" r:id="rId1"/>
    <sheet xmlns:r="http://schemas.openxmlformats.org/officeDocument/2006/relationships" name="LDH" sheetId="2" state="visible" r:id="rId2"/>
    <sheet xmlns:r="http://schemas.openxmlformats.org/officeDocument/2006/relationships" name="白细胞" sheetId="3" state="visible" r:id="rId3"/>
    <sheet xmlns:r="http://schemas.openxmlformats.org/officeDocument/2006/relationships" name="粒细胞" sheetId="4" state="visible" r:id="rId4"/>
    <sheet xmlns:r="http://schemas.openxmlformats.org/officeDocument/2006/relationships" name="血小板" sheetId="5" state="visible" r:id="rId5"/>
    <sheet xmlns:r="http://schemas.openxmlformats.org/officeDocument/2006/relationships" name="血红蛋白" sheetId="6" state="visible" r:id="rId6"/>
    <sheet xmlns:r="http://schemas.openxmlformats.org/officeDocument/2006/relationships" name="血常规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.mm\.dd"/>
  </numFmts>
  <fonts count="6">
    <font>
      <name val="Helvetica Neue"/>
      <color indexed="8"/>
      <sz val="10"/>
    </font>
    <font>
      <name val="Helvetica Neue"/>
      <charset val="134"/>
      <color indexed="8"/>
      <sz val="12"/>
    </font>
    <font>
      <name val="Times New Roman"/>
      <family val="1"/>
      <b val="1"/>
      <color indexed="8"/>
      <sz val="12"/>
    </font>
    <font>
      <name val="Helvetica Neue"/>
      <charset val="134"/>
      <b val="1"/>
      <color indexed="8"/>
      <sz val="10"/>
    </font>
    <font>
      <name val="宋体"/>
      <charset val="134"/>
      <family val="3"/>
      <sz val="9"/>
    </font>
    <font>
      <name val="Helvetica Neue"/>
      <charset val="134"/>
      <b val="1"/>
      <color rgb="FF000000"/>
      <sz val="12"/>
      <scheme val="minor"/>
    </font>
  </fonts>
  <fills count="5">
    <fill>
      <patternFill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Alignment="1">
      <alignment vertical="top" wrapText="1"/>
    </xf>
  </cellStyleXfs>
  <cellXfs count="46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14" fontId="2" fillId="0" borderId="1" applyAlignment="1" pivotButton="0" quotePrefix="0" xfId="0">
      <alignment horizontal="center" vertical="center" wrapText="1"/>
    </xf>
    <xf numFmtId="49" fontId="2" fillId="0" borderId="2" applyAlignment="1" pivotButton="0" quotePrefix="0" xfId="0">
      <alignment horizontal="center" vertical="center" wrapText="1"/>
    </xf>
    <xf numFmtId="49" fontId="2" fillId="0" borderId="3" applyAlignment="1" pivotButton="0" quotePrefix="0" xfId="0">
      <alignment horizontal="center" vertical="center" wrapText="1"/>
    </xf>
    <xf numFmtId="49" fontId="2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49" fontId="2" fillId="0" borderId="5" applyAlignment="1" pivotButton="0" quotePrefix="0" xfId="0">
      <alignment horizontal="center" vertical="center" wrapText="1"/>
    </xf>
    <xf numFmtId="49" fontId="2" fillId="0" borderId="6" applyAlignment="1" pivotButton="0" quotePrefix="0" xfId="0">
      <alignment horizontal="center" vertical="center" wrapText="1"/>
    </xf>
    <xf numFmtId="49" fontId="2" fillId="0" borderId="7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9" fontId="3" fillId="2" borderId="1" applyAlignment="1" pivotButton="0" quotePrefix="0" xfId="0">
      <alignment vertical="top" wrapText="1"/>
    </xf>
    <xf numFmtId="49" fontId="3" fillId="3" borderId="2" applyAlignment="1" pivotButton="0" quotePrefix="0" xfId="0">
      <alignment vertical="top" wrapText="1"/>
    </xf>
    <xf numFmtId="3" fontId="0" fillId="0" borderId="3" applyAlignment="1" pivotButton="0" quotePrefix="0" xfId="0">
      <alignment vertical="top" wrapText="1"/>
    </xf>
    <xf numFmtId="3" fontId="0" fillId="0" borderId="4" applyAlignment="1" pivotButton="0" quotePrefix="0" xfId="0">
      <alignment vertical="top" wrapText="1"/>
    </xf>
    <xf numFmtId="49" fontId="3" fillId="3" borderId="5" applyAlignment="1" pivotButton="0" quotePrefix="0" xfId="0">
      <alignment vertical="top" wrapText="1"/>
    </xf>
    <xf numFmtId="3" fontId="0" fillId="4" borderId="6" applyAlignment="1" pivotButton="0" quotePrefix="0" xfId="0">
      <alignment vertical="top" wrapText="1"/>
    </xf>
    <xf numFmtId="3" fontId="0" fillId="4" borderId="7" applyAlignment="1" pivotButton="0" quotePrefix="0" xfId="0">
      <alignment vertical="top" wrapText="1"/>
    </xf>
    <xf numFmtId="3" fontId="0" fillId="0" borderId="6" applyAlignment="1" pivotButton="0" quotePrefix="0" xfId="0">
      <alignment vertical="top" wrapText="1"/>
    </xf>
    <xf numFmtId="3" fontId="0" fillId="0" borderId="7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165" fontId="3" fillId="3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165" fontId="3" fillId="3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49" fontId="0" fillId="0" borderId="7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49" fontId="5" fillId="0" borderId="7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165" fontId="3" fillId="3" borderId="2" applyAlignment="1" pivotButton="0" quotePrefix="0" xfId="0">
      <alignment vertical="top" wrapText="1"/>
    </xf>
    <xf numFmtId="165" fontId="3" fillId="3" borderId="5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FFBDC0BF"/>
      <rgbColor rgb="FFDBDBDB"/>
      <rgbColor rgb="FFF4F4F4"/>
      <rgbColor rgb="FFFEFFFE"/>
      <rgbColor rgb="FFB8B8B8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5198"/>
          <y val="0.139581"/>
          <w val="0.870652"/>
          <h val="0.79421"/>
        </manualLayout>
      </layout>
      <lineChart>
        <grouping val="standard"/>
        <varyColors val="0"/>
        <ser>
          <idx val="0"/>
          <order val="0"/>
          <tx>
            <strRef>
              <f>LDH!$B$3</f>
              <strCache>
                <ptCount val="1"/>
                <pt idx="0">
                  <v>乳酸脱氢酶</v>
                </pt>
              </strCache>
            </strRef>
          </tx>
          <spPr>
            <a:ln xmlns:a="http://schemas.openxmlformats.org/drawingml/2006/main" w="50800" cap="flat">
              <a:solidFill>
                <a:schemeClr val="accent1"/>
              </a:solidFill>
              <a:prstDash val="solid"/>
              <a:miter lim="400000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LDH!$A$4:$A$27</f>
              <strCache>
                <ptCount val="24"/>
                <pt idx="0">
                  <v>2026.01.19</v>
                </pt>
                <pt idx="1">
                  <v>2026.01.22</v>
                </pt>
                <pt idx="2">
                  <v>2026.01.28</v>
                </pt>
                <pt idx="3">
                  <v>2026.01.31</v>
                </pt>
                <pt idx="4">
                  <v>2026.02.03</v>
                </pt>
                <pt idx="5">
                  <v>2026.02.06</v>
                </pt>
                <pt idx="6">
                  <v>2026.02.10</v>
                </pt>
                <pt idx="7">
                  <v>2026.02.13</v>
                </pt>
                <pt idx="8">
                  <v>2026.02.18</v>
                </pt>
                <pt idx="9">
                  <v>2026.02.20</v>
                </pt>
                <pt idx="10">
                  <v>2026.02.25</v>
                </pt>
                <pt idx="11">
                  <v>2026.03.05</v>
                </pt>
                <pt idx="12">
                  <v>2026.03.17</v>
                </pt>
                <pt idx="13">
                  <v>2026.03.27</v>
                </pt>
                <pt idx="14">
                  <v>2026.04.03</v>
                </pt>
                <pt idx="15">
                  <v>2026.04.10</v>
                </pt>
                <pt idx="16">
                  <v>2026.04.17</v>
                </pt>
                <pt idx="17">
                  <v>2026.04.27</v>
                </pt>
                <pt idx="18">
                  <v>2026.05.06</v>
                </pt>
                <pt idx="19">
                  <v>2026.05.13</v>
                </pt>
                <pt idx="20">
                  <v>2026.06.11</v>
                </pt>
                <pt idx="21">
                  <v>2026.08.04</v>
                </pt>
                <pt idx="22">
                  <v>2026.08.21</v>
                </pt>
                <pt idx="23">
                  <v>2026.09.23</v>
                </pt>
              </strCache>
            </strRef>
          </cat>
          <val>
            <numRef>
              <f>LDH!$B$4:$B$27</f>
              <numCache>
                <formatCode>#,##0</formatCode>
                <ptCount val="24"/>
                <pt idx="0">
                  <v>1482</v>
                </pt>
                <pt idx="1">
                  <v>1381</v>
                </pt>
                <pt idx="2">
                  <v>1355</v>
                </pt>
                <pt idx="3">
                  <v>1459</v>
                </pt>
                <pt idx="4">
                  <v>1481</v>
                </pt>
                <pt idx="5">
                  <v>1394</v>
                </pt>
                <pt idx="6">
                  <v>1534</v>
                </pt>
                <pt idx="7">
                  <v>1512</v>
                </pt>
                <pt idx="8">
                  <v>988</v>
                </pt>
                <pt idx="9">
                  <v>792</v>
                </pt>
                <pt idx="10">
                  <v>634</v>
                </pt>
                <pt idx="11">
                  <v>362</v>
                </pt>
                <pt idx="12">
                  <v>245</v>
                </pt>
                <pt idx="13">
                  <v>269</v>
                </pt>
                <pt idx="14">
                  <v>364</v>
                </pt>
                <pt idx="15">
                  <v>362</v>
                </pt>
                <pt idx="16">
                  <v>341</v>
                </pt>
                <pt idx="17">
                  <v>427</v>
                </pt>
                <pt idx="18">
                  <v>434</v>
                </pt>
                <pt idx="19">
                  <v>416</v>
                </pt>
                <pt idx="20">
                  <v>409</v>
                </pt>
                <pt idx="21">
                  <v>749</v>
                </pt>
                <pt idx="22">
                  <v>449</v>
                </pt>
                <pt idx="23">
                  <v>213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94734552"/>
        <axId val="2094734553"/>
      </lineChart>
      <catAx>
        <axId val="209473455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spPr>
          <a:ln xmlns:a="http://schemas.openxmlformats.org/drawingml/2006/main" w="12700" cap="flat">
            <a:solidFill>
              <a:srgbClr val="000000"/>
            </a:solidFill>
            <a:prstDash val="solid"/>
            <a:miter lim="400000"/>
          </a:ln>
        </spPr>
        <txPr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000" b="0" i="0" strike="noStrike">
                <a:solidFill>
                  <a:srgbClr val="000000"/>
                </a:solidFill>
                <a:latin typeface="Helvetica Neue"/>
              </a:defRPr>
            </a:pPr>
            <a:r>
              <a:t/>
            </a:r>
            <a:endParaRPr lang="zh-CN"/>
          </a:p>
        </txPr>
        <crossAx val="2094734553"/>
        <crosses val="autoZero"/>
        <auto val="1"/>
        <lblAlgn val="ctr"/>
        <lblOffset val="100"/>
        <noMultiLvlLbl val="1"/>
      </catAx>
      <valAx>
        <axId val="2094734553"/>
        <scaling>
          <orientation val="minMax"/>
        </scaling>
        <delete val="0"/>
        <axPos val="l"/>
        <majorGridlines>
          <spPr>
            <a:ln xmlns:a="http://schemas.openxmlformats.org/drawingml/2006/main" w="6350" cap="flat">
              <a:solidFill>
                <a:srgbClr val="B8B8B8"/>
              </a:solidFill>
              <a:prstDash val="solid"/>
              <a:miter lim="400000"/>
            </a:ln>
          </spPr>
        </majorGridlines>
        <numFmt formatCode="#,##0" sourceLinked="1"/>
        <majorTickMark val="none"/>
        <minorTickMark val="none"/>
        <tickLblPos val="nextTo"/>
        <spPr>
          <a:ln xmlns:a="http://schemas.openxmlformats.org/drawingml/2006/main" w="12700" cap="flat">
            <a:noFill/>
            <a:prstDash val="solid"/>
            <a:miter lim="400000"/>
          </a:ln>
        </spPr>
        <txPr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000" b="0" i="0" strike="noStrike">
                <a:solidFill>
                  <a:srgbClr val="000000"/>
                </a:solidFill>
                <a:latin typeface="Helvetica Neue"/>
              </a:defRPr>
            </a:pPr>
            <a:r>
              <a:t/>
            </a:r>
            <a:endParaRPr lang="zh-CN"/>
          </a:p>
        </txPr>
        <crossAx val="2094734552"/>
        <crosses val="autoZero"/>
        <crossBetween val="between"/>
        <majorUnit val="400"/>
        <minorUnit val="200"/>
      </valAx>
    </plotArea>
    <legend>
      <legendPos val="t"/>
      <layout>
        <manualLayout>
          <xMode val="edge"/>
          <yMode val="edge"/>
          <wMode val="factor"/>
          <hMode val="factor"/>
          <x val="0.070494"/>
          <y val="0"/>
          <w val="0.9295060000000001"/>
          <h val="0.0718633"/>
        </manualLayout>
      </layout>
      <overlay val="1"/>
      <spPr>
        <a:noFill xmlns:a="http://schemas.openxmlformats.org/drawingml/2006/main"/>
        <a:ln xmlns:a="http://schemas.openxmlformats.org/drawingml/2006/main" w="12700" cap="flat">
          <a:noFill/>
          <a:prstDash val="solid"/>
          <a:miter lim="400000"/>
        </a:ln>
      </spPr>
      <txPr>
        <a:bodyPr xmlns:a="http://schemas.openxmlformats.org/drawingml/2006/main" rot="0"/>
        <a:lstStyle xmlns:a="http://schemas.openxmlformats.org/drawingml/2006/main"/>
        <a:p xmlns:a="http://schemas.openxmlformats.org/drawingml/2006/main">
          <a:pPr>
            <a:defRPr sz="1000" b="0" i="0" strike="noStrike">
              <a:solidFill>
                <a:srgbClr val="000000"/>
              </a:solidFill>
              <a:latin typeface="Helvetica Neue"/>
            </a:defRPr>
          </a:pPr>
          <a:r>
            <a:t/>
          </a:r>
          <a:endParaRPr lang="zh-CN"/>
        </a:p>
      </txPr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359929"/>
          <y val="0.113391"/>
          <w val="0.9094410000000001"/>
          <h val="0.830478"/>
        </manualLayout>
      </layout>
      <lineChart>
        <grouping val="standard"/>
        <varyColors val="0"/>
        <ser>
          <idx val="0"/>
          <order val="0"/>
          <tx>
            <strRef>
              <f>白细胞!$B$2</f>
              <strCache>
                <ptCount val="1"/>
                <pt idx="0">
                  <v>白细胞</v>
                </pt>
              </strCache>
            </strRef>
          </tx>
          <spPr>
            <a:ln xmlns:a="http://schemas.openxmlformats.org/drawingml/2006/main" w="50800" cap="flat">
              <a:solidFill>
                <a:schemeClr val="accent1"/>
              </a:solidFill>
              <a:prstDash val="solid"/>
              <a:miter lim="400000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200" b="0" i="0" strike="noStrike">
                    <a:solidFill>
                      <a:srgbClr val="000000"/>
                    </a:solidFill>
                    <a:latin typeface="Helvetica Neue"/>
                  </a:defRPr>
                </a:pPr>
                <a:r>
                  <a:t/>
                </a:r>
                <a:endParaRPr lang="zh-CN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白细胞!$A$3:$A$37</f>
              <numCache>
                <formatCode>yyyy\.mm\.dd</formatCode>
                <ptCount val="35"/>
                <pt idx="0">
                  <v>46050</v>
                </pt>
                <pt idx="1">
                  <v>46053</v>
                </pt>
                <pt idx="2">
                  <v>46056</v>
                </pt>
                <pt idx="3">
                  <v>46059</v>
                </pt>
                <pt idx="4">
                  <v>46062</v>
                </pt>
                <pt idx="5">
                  <v>46063</v>
                </pt>
                <pt idx="6">
                  <v>46066</v>
                </pt>
                <pt idx="7">
                  <v>46071</v>
                </pt>
                <pt idx="8">
                  <v>46073</v>
                </pt>
                <pt idx="9">
                  <v>46078</v>
                </pt>
                <pt idx="10">
                  <v>46079</v>
                </pt>
                <pt idx="11">
                  <v>46080</v>
                </pt>
                <pt idx="12">
                  <v>46081</v>
                </pt>
                <pt idx="13">
                  <v>46082</v>
                </pt>
                <pt idx="14">
                  <v>46083</v>
                </pt>
                <pt idx="15">
                  <v>46084</v>
                </pt>
                <pt idx="16">
                  <v>46086</v>
                </pt>
                <pt idx="17">
                  <v>46087</v>
                </pt>
                <pt idx="18">
                  <v>46088</v>
                </pt>
                <pt idx="19">
                  <v>46089</v>
                </pt>
                <pt idx="20">
                  <v>46090</v>
                </pt>
                <pt idx="21">
                  <v>46092</v>
                </pt>
                <pt idx="22">
                  <v>46093</v>
                </pt>
                <pt idx="23">
                  <v>46095</v>
                </pt>
                <pt idx="24">
                  <v>46096</v>
                </pt>
                <pt idx="25">
                  <v>46098</v>
                </pt>
                <pt idx="26">
                  <v>46099</v>
                </pt>
                <pt idx="27">
                  <v>46101</v>
                </pt>
                <pt idx="28">
                  <v>46102</v>
                </pt>
                <pt idx="29">
                  <v>46103</v>
                </pt>
                <pt idx="30">
                  <v>46105</v>
                </pt>
                <pt idx="31">
                  <v>46106</v>
                </pt>
                <pt idx="32">
                  <v>46107</v>
                </pt>
                <pt idx="33">
                  <v>46108</v>
                </pt>
                <pt idx="34">
                  <v>46110</v>
                </pt>
              </numCache>
            </numRef>
          </cat>
          <val>
            <numRef>
              <f>白细胞!$B$3:$B$37</f>
              <numCache>
                <formatCode>General</formatCode>
                <ptCount val="35"/>
                <pt idx="0">
                  <v>10.94</v>
                </pt>
                <pt idx="1">
                  <v>8.24</v>
                </pt>
                <pt idx="2">
                  <v>5.45</v>
                </pt>
                <pt idx="3">
                  <v>6.8</v>
                </pt>
                <pt idx="4">
                  <v>6.42</v>
                </pt>
                <pt idx="5">
                  <v>8.33</v>
                </pt>
                <pt idx="6">
                  <v>8.57</v>
                </pt>
                <pt idx="7">
                  <v>10.12</v>
                </pt>
                <pt idx="8">
                  <v>9.94</v>
                </pt>
                <pt idx="9">
                  <v>6.61</v>
                </pt>
                <pt idx="10">
                  <v>5.81</v>
                </pt>
                <pt idx="11">
                  <v>6.05</v>
                </pt>
                <pt idx="12">
                  <v>5.98</v>
                </pt>
                <pt idx="13">
                  <v>5.3</v>
                </pt>
                <pt idx="14">
                  <v>4.96</v>
                </pt>
                <pt idx="15">
                  <v>5.23</v>
                </pt>
                <pt idx="16">
                  <v>4.81</v>
                </pt>
                <pt idx="17">
                  <v>3.11</v>
                </pt>
                <pt idx="18">
                  <v>3.11</v>
                </pt>
                <pt idx="19">
                  <v>3.44</v>
                </pt>
                <pt idx="20">
                  <v>3.14</v>
                </pt>
                <pt idx="21">
                  <v>3.13</v>
                </pt>
                <pt idx="22">
                  <v>2.09</v>
                </pt>
                <pt idx="23">
                  <v>2.91</v>
                </pt>
                <pt idx="24">
                  <v>2.92</v>
                </pt>
                <pt idx="25">
                  <v>3.43</v>
                </pt>
                <pt idx="26">
                  <v>3.66</v>
                </pt>
                <pt idx="27">
                  <v>3.92</v>
                </pt>
                <pt idx="28">
                  <v>4.42</v>
                </pt>
                <pt idx="29">
                  <v>4.72</v>
                </pt>
                <pt idx="30">
                  <v>6.59</v>
                </pt>
                <pt idx="31">
                  <v>8.529999999999999</v>
                </pt>
                <pt idx="32">
                  <v>6.22</v>
                </pt>
                <pt idx="33">
                  <v>4.16</v>
                </pt>
                <pt idx="34">
                  <v>11.79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94734552"/>
        <axId val="2094734553"/>
      </lineChart>
      <dateAx>
        <axId val="2094734552"/>
        <scaling>
          <orientation val="minMax"/>
        </scaling>
        <delete val="0"/>
        <axPos val="b"/>
        <numFmt formatCode="yyyy\.mm\.dd" sourceLinked="1"/>
        <majorTickMark val="none"/>
        <minorTickMark val="none"/>
        <tickLblPos val="low"/>
        <spPr>
          <a:ln xmlns:a="http://schemas.openxmlformats.org/drawingml/2006/main" w="12700" cap="flat">
            <a:solidFill>
              <a:srgbClr val="000000"/>
            </a:solidFill>
            <a:prstDash val="solid"/>
            <a:miter lim="400000"/>
          </a:ln>
        </spPr>
        <txPr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000" b="0" i="0" strike="noStrike">
                <a:solidFill>
                  <a:srgbClr val="000000"/>
                </a:solidFill>
                <a:latin typeface="Helvetica Neue"/>
              </a:defRPr>
            </a:pPr>
            <a:r>
              <a:t/>
            </a:r>
            <a:endParaRPr lang="zh-CN"/>
          </a:p>
        </txPr>
        <crossAx val="2094734553"/>
        <crosses val="autoZero"/>
        <lblOffset val="100"/>
        <baseTimeUnit val="days"/>
      </dateAx>
      <valAx>
        <axId val="2094734553"/>
        <scaling>
          <orientation val="minMax"/>
        </scaling>
        <delete val="0"/>
        <axPos val="l"/>
        <majorGridlines>
          <spPr>
            <a:ln xmlns:a="http://schemas.openxmlformats.org/drawingml/2006/main" w="6350" cap="flat">
              <a:solidFill>
                <a:srgbClr val="B8B8B8"/>
              </a:solidFill>
              <a:prstDash val="solid"/>
              <a:miter lim="400000"/>
            </a:ln>
          </spPr>
        </majorGridlines>
        <numFmt formatCode="General" sourceLinked="1"/>
        <majorTickMark val="none"/>
        <minorTickMark val="none"/>
        <tickLblPos val="nextTo"/>
        <spPr>
          <a:ln xmlns:a="http://schemas.openxmlformats.org/drawingml/2006/main" w="12700" cap="flat">
            <a:noFill/>
            <a:prstDash val="solid"/>
            <a:miter lim="400000"/>
          </a:ln>
        </spPr>
        <txPr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000" b="0" i="0" strike="noStrike">
                <a:solidFill>
                  <a:srgbClr val="000000"/>
                </a:solidFill>
                <a:latin typeface="Helvetica Neue"/>
              </a:defRPr>
            </a:pPr>
            <a:r>
              <a:t/>
            </a:r>
            <a:endParaRPr lang="zh-CN"/>
          </a:p>
        </txPr>
        <crossAx val="2094734552"/>
        <crosses val="autoZero"/>
        <crossBetween val="midCat"/>
        <majorUnit val="2.4"/>
        <minorUnit val="1.2"/>
      </valAx>
    </plotArea>
    <legend>
      <legendPos val="t"/>
      <layout>
        <manualLayout>
          <xMode val="edge"/>
          <yMode val="edge"/>
          <wMode val="factor"/>
          <hMode val="factor"/>
          <x val="0.0270798"/>
          <y val="0"/>
          <w val="0.870227"/>
          <h val="0.06307"/>
        </manualLayout>
      </layout>
      <overlay val="1"/>
      <spPr>
        <a:noFill xmlns:a="http://schemas.openxmlformats.org/drawingml/2006/main"/>
        <a:ln xmlns:a="http://schemas.openxmlformats.org/drawingml/2006/main" w="12700" cap="flat">
          <a:noFill/>
          <a:prstDash val="solid"/>
          <a:miter lim="400000"/>
        </a:ln>
      </spPr>
      <txPr>
        <a:bodyPr xmlns:a="http://schemas.openxmlformats.org/drawingml/2006/main" rot="0"/>
        <a:lstStyle xmlns:a="http://schemas.openxmlformats.org/drawingml/2006/main"/>
        <a:p xmlns:a="http://schemas.openxmlformats.org/drawingml/2006/main">
          <a:pPr>
            <a:defRPr sz="1000" b="0" i="0" strike="noStrike">
              <a:solidFill>
                <a:srgbClr val="000000"/>
              </a:solidFill>
              <a:latin typeface="Helvetica Neue"/>
            </a:defRPr>
          </a:pPr>
          <a:r>
            <a:t/>
          </a:r>
          <a:endParaRPr lang="zh-CN"/>
        </a:p>
      </txPr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373964"/>
          <y val="0.113391"/>
          <w val="0.944903"/>
          <h val="0.830478"/>
        </manualLayout>
      </layout>
      <lineChart>
        <grouping val="standard"/>
        <varyColors val="0"/>
        <ser>
          <idx val="0"/>
          <order val="0"/>
          <tx>
            <strRef>
              <f>粒细胞!$B$2</f>
              <strCache>
                <ptCount val="1"/>
                <pt idx="0">
                  <v>粒细胞</v>
                </pt>
              </strCache>
            </strRef>
          </tx>
          <spPr>
            <a:ln xmlns:a="http://schemas.openxmlformats.org/drawingml/2006/main" w="50800" cap="flat">
              <a:solidFill>
                <a:schemeClr val="accent2">
                  <a:hueOff val="-85258"/>
                  <a:satOff val="14347"/>
                  <a:lumOff val="22373"/>
                </a:schemeClr>
              </a:solidFill>
              <a:prstDash val="solid"/>
              <a:miter lim="400000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200" b="0" i="0" strike="noStrike">
                    <a:solidFill>
                      <a:srgbClr val="000000"/>
                    </a:solidFill>
                    <a:latin typeface="Helvetica Neue"/>
                  </a:defRPr>
                </a:pPr>
                <a:r>
                  <a:t/>
                </a:r>
                <a:endParaRPr lang="zh-CN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粒细胞!$A$3:$A$37</f>
              <numCache>
                <formatCode>yyyy\.mm\.dd</formatCode>
                <ptCount val="35"/>
                <pt idx="0">
                  <v>46050</v>
                </pt>
                <pt idx="1">
                  <v>46053</v>
                </pt>
                <pt idx="2">
                  <v>46056</v>
                </pt>
                <pt idx="3">
                  <v>46059</v>
                </pt>
                <pt idx="4">
                  <v>46062</v>
                </pt>
                <pt idx="5">
                  <v>46063</v>
                </pt>
                <pt idx="6">
                  <v>46066</v>
                </pt>
                <pt idx="7">
                  <v>46071</v>
                </pt>
                <pt idx="8">
                  <v>46073</v>
                </pt>
                <pt idx="9">
                  <v>46078</v>
                </pt>
                <pt idx="10">
                  <v>46079</v>
                </pt>
                <pt idx="11">
                  <v>46080</v>
                </pt>
                <pt idx="12">
                  <v>46081</v>
                </pt>
                <pt idx="13">
                  <v>46082</v>
                </pt>
                <pt idx="14">
                  <v>46083</v>
                </pt>
                <pt idx="15">
                  <v>46084</v>
                </pt>
                <pt idx="16">
                  <v>46086</v>
                </pt>
                <pt idx="17">
                  <v>46087</v>
                </pt>
                <pt idx="18">
                  <v>46088</v>
                </pt>
                <pt idx="19">
                  <v>46089</v>
                </pt>
                <pt idx="20">
                  <v>46090</v>
                </pt>
                <pt idx="21">
                  <v>46092</v>
                </pt>
                <pt idx="22">
                  <v>46093</v>
                </pt>
                <pt idx="23">
                  <v>46095</v>
                </pt>
                <pt idx="24">
                  <v>46096</v>
                </pt>
                <pt idx="25">
                  <v>46098</v>
                </pt>
                <pt idx="26">
                  <v>46099</v>
                </pt>
                <pt idx="27">
                  <v>46101</v>
                </pt>
                <pt idx="28">
                  <v>46102</v>
                </pt>
                <pt idx="29">
                  <v>46103</v>
                </pt>
                <pt idx="30">
                  <v>46105</v>
                </pt>
                <pt idx="31">
                  <v>46106</v>
                </pt>
                <pt idx="32">
                  <v>46107</v>
                </pt>
                <pt idx="33">
                  <v>46108</v>
                </pt>
                <pt idx="34">
                  <v>46110</v>
                </pt>
              </numCache>
            </numRef>
          </cat>
          <val>
            <numRef>
              <f>粒细胞!$B$3:$B$37</f>
              <numCache>
                <formatCode>General</formatCode>
                <ptCount val="35"/>
                <pt idx="0">
                  <v>9.640000000000001</v>
                </pt>
                <pt idx="1">
                  <v>5.69</v>
                </pt>
                <pt idx="2">
                  <v>3.54</v>
                </pt>
                <pt idx="3">
                  <v>4.53</v>
                </pt>
                <pt idx="4">
                  <v>4.44</v>
                </pt>
                <pt idx="5">
                  <v>6.04</v>
                </pt>
                <pt idx="6">
                  <v>4.85</v>
                </pt>
                <pt idx="7">
                  <v>2.97</v>
                </pt>
                <pt idx="8">
                  <v>2.64</v>
                </pt>
                <pt idx="9">
                  <v>2.41</v>
                </pt>
                <pt idx="10">
                  <v>2.44</v>
                </pt>
                <pt idx="11">
                  <v>2.26</v>
                </pt>
                <pt idx="12">
                  <v>2.22</v>
                </pt>
                <pt idx="13">
                  <v>1.72</v>
                </pt>
                <pt idx="14">
                  <v>1.53</v>
                </pt>
                <pt idx="15">
                  <v>1.28</v>
                </pt>
                <pt idx="16">
                  <v>1.09</v>
                </pt>
                <pt idx="17">
                  <v>0.66</v>
                </pt>
                <pt idx="18">
                  <v>0.42</v>
                </pt>
                <pt idx="19">
                  <v>0.23</v>
                </pt>
                <pt idx="20">
                  <v>0.26</v>
                </pt>
                <pt idx="21">
                  <v>0.3</v>
                </pt>
                <pt idx="22">
                  <v>0.33</v>
                </pt>
                <pt idx="23">
                  <v>0.52</v>
                </pt>
                <pt idx="24">
                  <v>0.82</v>
                </pt>
                <pt idx="25">
                  <v>0.75</v>
                </pt>
                <pt idx="26">
                  <v>0.7</v>
                </pt>
                <pt idx="27">
                  <v>1.08</v>
                </pt>
                <pt idx="28">
                  <v>1.2</v>
                </pt>
                <pt idx="29">
                  <v>1.58</v>
                </pt>
                <pt idx="30">
                  <v>2.62</v>
                </pt>
                <pt idx="31">
                  <v>5.04</v>
                </pt>
                <pt idx="32">
                  <v>3.02</v>
                </pt>
                <pt idx="33">
                  <v>1.18</v>
                </pt>
                <pt idx="34">
                  <v>7.41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94734552"/>
        <axId val="2094734553"/>
      </lineChart>
      <dateAx>
        <axId val="2094734552"/>
        <scaling>
          <orientation val="minMax"/>
        </scaling>
        <delete val="0"/>
        <axPos val="b"/>
        <numFmt formatCode="yyyy\.mm\.dd" sourceLinked="1"/>
        <majorTickMark val="none"/>
        <minorTickMark val="none"/>
        <tickLblPos val="low"/>
        <spPr>
          <a:ln xmlns:a="http://schemas.openxmlformats.org/drawingml/2006/main" w="12700" cap="flat">
            <a:solidFill>
              <a:srgbClr val="000000"/>
            </a:solidFill>
            <a:prstDash val="solid"/>
            <a:miter lim="400000"/>
          </a:ln>
        </spPr>
        <txPr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000" b="0" i="0" strike="noStrike">
                <a:solidFill>
                  <a:srgbClr val="000000"/>
                </a:solidFill>
                <a:latin typeface="Helvetica Neue"/>
              </a:defRPr>
            </a:pPr>
            <a:r>
              <a:t/>
            </a:r>
            <a:endParaRPr lang="zh-CN"/>
          </a:p>
        </txPr>
        <crossAx val="2094734553"/>
        <crosses val="autoZero"/>
        <lblOffset val="100"/>
        <baseTimeUnit val="days"/>
      </dateAx>
      <valAx>
        <axId val="2094734553"/>
        <scaling>
          <orientation val="minMax"/>
        </scaling>
        <delete val="0"/>
        <axPos val="l"/>
        <majorGridlines>
          <spPr>
            <a:ln xmlns:a="http://schemas.openxmlformats.org/drawingml/2006/main" w="6350" cap="flat">
              <a:solidFill>
                <a:srgbClr val="B8B8B8"/>
              </a:solidFill>
              <a:prstDash val="solid"/>
              <a:miter lim="400000"/>
            </a:ln>
          </spPr>
        </majorGridlines>
        <numFmt formatCode="General" sourceLinked="1"/>
        <majorTickMark val="none"/>
        <minorTickMark val="none"/>
        <tickLblPos val="nextTo"/>
        <spPr>
          <a:ln xmlns:a="http://schemas.openxmlformats.org/drawingml/2006/main" w="12700" cap="flat">
            <a:noFill/>
            <a:prstDash val="solid"/>
            <a:miter lim="400000"/>
          </a:ln>
        </spPr>
        <txPr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000" b="0" i="0" strike="noStrike">
                <a:solidFill>
                  <a:srgbClr val="000000"/>
                </a:solidFill>
                <a:latin typeface="Helvetica Neue"/>
              </a:defRPr>
            </a:pPr>
            <a:r>
              <a:t/>
            </a:r>
            <a:endParaRPr lang="zh-CN"/>
          </a:p>
        </txPr>
        <crossAx val="2094734552"/>
        <crosses val="autoZero"/>
        <crossBetween val="midCat"/>
        <majorUnit val="2.5"/>
        <minorUnit val="1.25"/>
      </valAx>
    </plotArea>
    <legend>
      <legendPos val="t"/>
      <layout>
        <manualLayout>
          <xMode val="edge"/>
          <yMode val="edge"/>
          <wMode val="factor"/>
          <hMode val="factor"/>
          <x val="0.0294588"/>
          <y val="0"/>
          <w val="0.946679"/>
          <h val="0.06307"/>
        </manualLayout>
      </layout>
      <overlay val="1"/>
      <spPr>
        <a:noFill xmlns:a="http://schemas.openxmlformats.org/drawingml/2006/main"/>
        <a:ln xmlns:a="http://schemas.openxmlformats.org/drawingml/2006/main" w="12700" cap="flat">
          <a:noFill/>
          <a:prstDash val="solid"/>
          <a:miter lim="400000"/>
        </a:ln>
      </spPr>
      <txPr>
        <a:bodyPr xmlns:a="http://schemas.openxmlformats.org/drawingml/2006/main" rot="0"/>
        <a:lstStyle xmlns:a="http://schemas.openxmlformats.org/drawingml/2006/main"/>
        <a:p xmlns:a="http://schemas.openxmlformats.org/drawingml/2006/main">
          <a:pPr>
            <a:defRPr sz="1000" b="0" i="0" strike="noStrike">
              <a:solidFill>
                <a:srgbClr val="000000"/>
              </a:solidFill>
              <a:latin typeface="Helvetica Neue"/>
            </a:defRPr>
          </a:pPr>
          <a:r>
            <a:t/>
          </a:r>
          <a:endParaRPr lang="zh-CN"/>
        </a:p>
      </txPr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15721"/>
          <y val="0.113391"/>
          <w val="0.947968"/>
          <h val="0.830478"/>
        </manualLayout>
      </layout>
      <lineChart>
        <grouping val="standard"/>
        <varyColors val="0"/>
        <ser>
          <idx val="0"/>
          <order val="0"/>
          <tx>
            <strRef>
              <f>血小板!$B$2</f>
              <strCache>
                <ptCount val="1"/>
                <pt idx="0">
                  <v>血小板</v>
                </pt>
              </strCache>
            </strRef>
          </tx>
          <spPr>
            <a:ln xmlns:a="http://schemas.openxmlformats.org/drawingml/2006/main" w="50800" cap="flat">
              <a:solidFill>
                <a:schemeClr val="accent4"/>
              </a:solidFill>
              <a:prstDash val="solid"/>
              <a:miter lim="400000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200" b="0" i="0" strike="noStrike">
                    <a:solidFill>
                      <a:srgbClr val="000000"/>
                    </a:solidFill>
                    <a:latin typeface="Helvetica Neue"/>
                  </a:defRPr>
                </a:pPr>
                <a:r>
                  <a:t/>
                </a:r>
                <a:endParaRPr lang="zh-CN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血小板!$A$3:$A$37</f>
              <numCache>
                <formatCode>yyyy\.mm\.dd</formatCode>
                <ptCount val="35"/>
                <pt idx="0">
                  <v>46050</v>
                </pt>
                <pt idx="1">
                  <v>46053</v>
                </pt>
                <pt idx="2">
                  <v>46056</v>
                </pt>
                <pt idx="3">
                  <v>46059</v>
                </pt>
                <pt idx="4">
                  <v>46062</v>
                </pt>
                <pt idx="5">
                  <v>46063</v>
                </pt>
                <pt idx="6">
                  <v>46066</v>
                </pt>
                <pt idx="7">
                  <v>46071</v>
                </pt>
                <pt idx="8">
                  <v>46073</v>
                </pt>
                <pt idx="9">
                  <v>46078</v>
                </pt>
                <pt idx="10">
                  <v>46079</v>
                </pt>
                <pt idx="11">
                  <v>46080</v>
                </pt>
                <pt idx="12">
                  <v>46081</v>
                </pt>
                <pt idx="13">
                  <v>46082</v>
                </pt>
                <pt idx="14">
                  <v>46083</v>
                </pt>
                <pt idx="15">
                  <v>46084</v>
                </pt>
                <pt idx="16">
                  <v>46086</v>
                </pt>
                <pt idx="17">
                  <v>46087</v>
                </pt>
                <pt idx="18">
                  <v>46088</v>
                </pt>
                <pt idx="19">
                  <v>46089</v>
                </pt>
                <pt idx="20">
                  <v>46090</v>
                </pt>
                <pt idx="21">
                  <v>46092</v>
                </pt>
                <pt idx="22">
                  <v>46093</v>
                </pt>
                <pt idx="23">
                  <v>46095</v>
                </pt>
                <pt idx="24">
                  <v>46096</v>
                </pt>
                <pt idx="25">
                  <v>46098</v>
                </pt>
                <pt idx="26">
                  <v>46099</v>
                </pt>
                <pt idx="27">
                  <v>46101</v>
                </pt>
                <pt idx="28">
                  <v>46102</v>
                </pt>
                <pt idx="29">
                  <v>46103</v>
                </pt>
                <pt idx="30">
                  <v>46105</v>
                </pt>
                <pt idx="31">
                  <v>46106</v>
                </pt>
                <pt idx="32">
                  <v>46107</v>
                </pt>
                <pt idx="33">
                  <v>46108</v>
                </pt>
                <pt idx="34">
                  <v>46110</v>
                </pt>
              </numCache>
            </numRef>
          </cat>
          <val>
            <numRef>
              <f>血小板!$B$3:$B$37</f>
              <numCache>
                <formatCode>General</formatCode>
                <ptCount val="35"/>
                <pt idx="0">
                  <v>204</v>
                </pt>
                <pt idx="1">
                  <v>179</v>
                </pt>
                <pt idx="2">
                  <v>180</v>
                </pt>
                <pt idx="3">
                  <v>166</v>
                </pt>
                <pt idx="4">
                  <v>150</v>
                </pt>
                <pt idx="5">
                  <v>122</v>
                </pt>
                <pt idx="6">
                  <v>88</v>
                </pt>
                <pt idx="7">
                  <v>49</v>
                </pt>
                <pt idx="8">
                  <v>39</v>
                </pt>
                <pt idx="9">
                  <v>17</v>
                </pt>
                <pt idx="10">
                  <v>26</v>
                </pt>
                <pt idx="11">
                  <v>26</v>
                </pt>
                <pt idx="12">
                  <v>20</v>
                </pt>
                <pt idx="13">
                  <v>11</v>
                </pt>
                <pt idx="14">
                  <v>11</v>
                </pt>
                <pt idx="15">
                  <v>28</v>
                </pt>
                <pt idx="16">
                  <v>6</v>
                </pt>
                <pt idx="17">
                  <v>59</v>
                </pt>
                <pt idx="18">
                  <v>45</v>
                </pt>
                <pt idx="19">
                  <v>27</v>
                </pt>
                <pt idx="20">
                  <v>46</v>
                </pt>
                <pt idx="21">
                  <v>21</v>
                </pt>
                <pt idx="22">
                  <v>43</v>
                </pt>
                <pt idx="23">
                  <v>22</v>
                </pt>
                <pt idx="24">
                  <v>51</v>
                </pt>
                <pt idx="25">
                  <v>23</v>
                </pt>
                <pt idx="26">
                  <v>56</v>
                </pt>
                <pt idx="27">
                  <v>28</v>
                </pt>
                <pt idx="28">
                  <v>18</v>
                </pt>
                <pt idx="29">
                  <v>53</v>
                </pt>
                <pt idx="30">
                  <v>33</v>
                </pt>
                <pt idx="31">
                  <v>27</v>
                </pt>
                <pt idx="32">
                  <v>27</v>
                </pt>
                <pt idx="33">
                  <v>49</v>
                </pt>
                <pt idx="34">
                  <v>36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94734552"/>
        <axId val="2094734553"/>
      </lineChart>
      <dateAx>
        <axId val="2094734552"/>
        <scaling>
          <orientation val="minMax"/>
        </scaling>
        <delete val="0"/>
        <axPos val="b"/>
        <numFmt formatCode="yyyy\.mm\.dd" sourceLinked="1"/>
        <majorTickMark val="none"/>
        <minorTickMark val="none"/>
        <tickLblPos val="low"/>
        <spPr>
          <a:ln xmlns:a="http://schemas.openxmlformats.org/drawingml/2006/main" w="12700" cap="flat">
            <a:solidFill>
              <a:srgbClr val="000000"/>
            </a:solidFill>
            <a:prstDash val="solid"/>
            <a:miter lim="400000"/>
          </a:ln>
        </spPr>
        <txPr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000" b="0" i="0" strike="noStrike">
                <a:solidFill>
                  <a:srgbClr val="000000"/>
                </a:solidFill>
                <a:latin typeface="Helvetica Neue"/>
              </a:defRPr>
            </a:pPr>
            <a:r>
              <a:t/>
            </a:r>
            <a:endParaRPr lang="zh-CN"/>
          </a:p>
        </txPr>
        <crossAx val="2094734553"/>
        <crosses val="autoZero"/>
        <lblOffset val="100"/>
        <baseTimeUnit val="days"/>
      </dateAx>
      <valAx>
        <axId val="2094734553"/>
        <scaling>
          <orientation val="minMax"/>
        </scaling>
        <delete val="0"/>
        <axPos val="l"/>
        <majorGridlines>
          <spPr>
            <a:ln xmlns:a="http://schemas.openxmlformats.org/drawingml/2006/main" w="6350" cap="flat">
              <a:solidFill>
                <a:srgbClr val="B8B8B8"/>
              </a:solidFill>
              <a:prstDash val="solid"/>
              <a:miter lim="400000"/>
            </a:ln>
          </spPr>
        </majorGridlines>
        <numFmt formatCode="General" sourceLinked="1"/>
        <majorTickMark val="none"/>
        <minorTickMark val="none"/>
        <tickLblPos val="nextTo"/>
        <spPr>
          <a:ln xmlns:a="http://schemas.openxmlformats.org/drawingml/2006/main" w="12700" cap="flat">
            <a:noFill/>
            <a:prstDash val="solid"/>
            <a:miter lim="400000"/>
          </a:ln>
        </spPr>
        <txPr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000" b="0" i="0" strike="noStrike">
                <a:solidFill>
                  <a:srgbClr val="000000"/>
                </a:solidFill>
                <a:latin typeface="Helvetica Neue"/>
              </a:defRPr>
            </a:pPr>
            <a:r>
              <a:t/>
            </a:r>
            <a:endParaRPr lang="zh-CN"/>
          </a:p>
        </txPr>
        <crossAx val="2094734552"/>
        <crosses val="autoZero"/>
        <crossBetween val="midCat"/>
        <majorUnit val="55"/>
        <minorUnit val="27.5"/>
      </valAx>
    </plotArea>
    <legend>
      <legendPos val="t"/>
      <layout>
        <manualLayout>
          <xMode val="edge"/>
          <yMode val="edge"/>
          <wMode val="factor"/>
          <hMode val="factor"/>
          <x val="0.0596417"/>
          <y val="0"/>
          <w val="0.892765"/>
          <h val="0.06307"/>
        </manualLayout>
      </layout>
      <overlay val="1"/>
      <spPr>
        <a:noFill xmlns:a="http://schemas.openxmlformats.org/drawingml/2006/main"/>
        <a:ln xmlns:a="http://schemas.openxmlformats.org/drawingml/2006/main" w="12700" cap="flat">
          <a:noFill/>
          <a:prstDash val="solid"/>
          <a:miter lim="400000"/>
        </a:ln>
      </spPr>
      <txPr>
        <a:bodyPr xmlns:a="http://schemas.openxmlformats.org/drawingml/2006/main" rot="0"/>
        <a:lstStyle xmlns:a="http://schemas.openxmlformats.org/drawingml/2006/main"/>
        <a:p xmlns:a="http://schemas.openxmlformats.org/drawingml/2006/main">
          <a:pPr>
            <a:defRPr sz="1000" b="0" i="0" strike="noStrike">
              <a:solidFill>
                <a:srgbClr val="000000"/>
              </a:solidFill>
              <a:latin typeface="Helvetica Neue"/>
            </a:defRPr>
          </a:pPr>
          <a:r>
            <a:t/>
          </a:r>
          <a:endParaRPr lang="zh-CN"/>
        </a:p>
      </txPr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4422"/>
          <y val="0.113391"/>
          <w val="0.94414"/>
          <h val="0.830478"/>
        </manualLayout>
      </layout>
      <lineChart>
        <grouping val="standard"/>
        <varyColors val="0"/>
        <ser>
          <idx val="0"/>
          <order val="0"/>
          <tx>
            <strRef>
              <f>血红蛋白!$C$2</f>
              <strCache>
                <ptCount val="1"/>
                <pt idx="0">
                  <v>血红蛋白</v>
                </pt>
              </strCache>
            </strRef>
          </tx>
          <spPr>
            <a:ln xmlns:a="http://schemas.openxmlformats.org/drawingml/2006/main" w="50800" cap="flat">
              <a:solidFill>
                <a:schemeClr val="accent5"/>
              </a:solidFill>
              <a:prstDash val="solid"/>
              <a:miter lim="400000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200" b="0" i="0" strike="noStrike">
                    <a:solidFill>
                      <a:srgbClr val="000000"/>
                    </a:solidFill>
                    <a:latin typeface="Helvetica Neue"/>
                  </a:defRPr>
                </a:pPr>
                <a:r>
                  <a:t/>
                </a:r>
                <a:endParaRPr lang="zh-CN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血红蛋白!$B$3:$B$37</f>
              <numCache>
                <formatCode>yyyy\.mm\.dd</formatCode>
                <ptCount val="35"/>
                <pt idx="0">
                  <v>46050</v>
                </pt>
                <pt idx="1">
                  <v>46053</v>
                </pt>
                <pt idx="2">
                  <v>46056</v>
                </pt>
                <pt idx="3">
                  <v>46059</v>
                </pt>
                <pt idx="4">
                  <v>46062</v>
                </pt>
                <pt idx="5">
                  <v>46063</v>
                </pt>
                <pt idx="6">
                  <v>46066</v>
                </pt>
                <pt idx="7">
                  <v>46071</v>
                </pt>
                <pt idx="8">
                  <v>46073</v>
                </pt>
                <pt idx="9">
                  <v>46078</v>
                </pt>
                <pt idx="10">
                  <v>46079</v>
                </pt>
                <pt idx="11">
                  <v>46080</v>
                </pt>
                <pt idx="12">
                  <v>46081</v>
                </pt>
                <pt idx="13">
                  <v>46082</v>
                </pt>
                <pt idx="14">
                  <v>46083</v>
                </pt>
                <pt idx="15">
                  <v>46084</v>
                </pt>
                <pt idx="16">
                  <v>46086</v>
                </pt>
                <pt idx="17">
                  <v>46087</v>
                </pt>
                <pt idx="18">
                  <v>46088</v>
                </pt>
                <pt idx="19">
                  <v>46089</v>
                </pt>
                <pt idx="20">
                  <v>46090</v>
                </pt>
                <pt idx="21">
                  <v>46092</v>
                </pt>
                <pt idx="22">
                  <v>46093</v>
                </pt>
                <pt idx="23">
                  <v>46095</v>
                </pt>
                <pt idx="24">
                  <v>46096</v>
                </pt>
                <pt idx="25">
                  <v>46098</v>
                </pt>
                <pt idx="26">
                  <v>46099</v>
                </pt>
                <pt idx="27">
                  <v>46101</v>
                </pt>
                <pt idx="28">
                  <v>46102</v>
                </pt>
                <pt idx="29">
                  <v>46103</v>
                </pt>
                <pt idx="30">
                  <v>46105</v>
                </pt>
                <pt idx="31">
                  <v>46106</v>
                </pt>
                <pt idx="32">
                  <v>46107</v>
                </pt>
                <pt idx="33">
                  <v>46108</v>
                </pt>
                <pt idx="34">
                  <v>46110</v>
                </pt>
              </numCache>
            </numRef>
          </cat>
          <val>
            <numRef>
              <f>血红蛋白!$C$3:$C$37</f>
              <numCache>
                <formatCode>General</formatCode>
                <ptCount val="35"/>
                <pt idx="0">
                  <v>118</v>
                </pt>
                <pt idx="1">
                  <v>113</v>
                </pt>
                <pt idx="2">
                  <v>114</v>
                </pt>
                <pt idx="3">
                  <v>118</v>
                </pt>
                <pt idx="4">
                  <v>124</v>
                </pt>
                <pt idx="5">
                  <v>116</v>
                </pt>
                <pt idx="6">
                  <v>111</v>
                </pt>
                <pt idx="7">
                  <v>120</v>
                </pt>
                <pt idx="8">
                  <v>113</v>
                </pt>
                <pt idx="9">
                  <v>109</v>
                </pt>
                <pt idx="10">
                  <v>109</v>
                </pt>
                <pt idx="11">
                  <v>110</v>
                </pt>
                <pt idx="12">
                  <v>109</v>
                </pt>
                <pt idx="13">
                  <v>98</v>
                </pt>
                <pt idx="14">
                  <v>97</v>
                </pt>
                <pt idx="15">
                  <v>110</v>
                </pt>
                <pt idx="16">
                  <v>95</v>
                </pt>
                <pt idx="17">
                  <v>92</v>
                </pt>
                <pt idx="18">
                  <v>89</v>
                </pt>
                <pt idx="19">
                  <v>83</v>
                </pt>
                <pt idx="20">
                  <v>84</v>
                </pt>
                <pt idx="21">
                  <v>81</v>
                </pt>
                <pt idx="22">
                  <v>80</v>
                </pt>
                <pt idx="23">
                  <v>71</v>
                </pt>
                <pt idx="24">
                  <v>77</v>
                </pt>
                <pt idx="25">
                  <v>70</v>
                </pt>
                <pt idx="26">
                  <v>69</v>
                </pt>
                <pt idx="27">
                  <v>65</v>
                </pt>
                <pt idx="28">
                  <v>65</v>
                </pt>
                <pt idx="29">
                  <v>64</v>
                </pt>
                <pt idx="30">
                  <v>62</v>
                </pt>
                <pt idx="31">
                  <v>74</v>
                </pt>
                <pt idx="32">
                  <v>67</v>
                </pt>
                <pt idx="33">
                  <v>62</v>
                </pt>
                <pt idx="34">
                  <v>62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94734552"/>
        <axId val="2094734553"/>
      </lineChart>
      <dateAx>
        <axId val="2094734552"/>
        <scaling>
          <orientation val="minMax"/>
        </scaling>
        <delete val="0"/>
        <axPos val="b"/>
        <numFmt formatCode="yyyy\.mm\.dd" sourceLinked="1"/>
        <majorTickMark val="none"/>
        <minorTickMark val="none"/>
        <tickLblPos val="low"/>
        <spPr>
          <a:ln xmlns:a="http://schemas.openxmlformats.org/drawingml/2006/main" w="12700" cap="flat">
            <a:solidFill>
              <a:srgbClr val="000000"/>
            </a:solidFill>
            <a:prstDash val="solid"/>
            <a:miter lim="400000"/>
          </a:ln>
        </spPr>
        <txPr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000" b="0" i="0" strike="noStrike">
                <a:solidFill>
                  <a:srgbClr val="000000"/>
                </a:solidFill>
                <a:latin typeface="Helvetica Neue"/>
              </a:defRPr>
            </a:pPr>
            <a:r>
              <a:t/>
            </a:r>
            <a:endParaRPr lang="zh-CN"/>
          </a:p>
        </txPr>
        <crossAx val="2094734553"/>
        <crosses val="autoZero"/>
        <lblOffset val="100"/>
        <baseTimeUnit val="days"/>
      </dateAx>
      <valAx>
        <axId val="2094734553"/>
        <scaling>
          <orientation val="minMax"/>
        </scaling>
        <delete val="0"/>
        <axPos val="l"/>
        <majorGridlines>
          <spPr>
            <a:ln xmlns:a="http://schemas.openxmlformats.org/drawingml/2006/main" w="6350" cap="flat">
              <a:solidFill>
                <a:srgbClr val="B8B8B8"/>
              </a:solidFill>
              <a:prstDash val="solid"/>
              <a:miter lim="400000"/>
            </a:ln>
          </spPr>
        </majorGridlines>
        <numFmt formatCode="General" sourceLinked="1"/>
        <majorTickMark val="none"/>
        <minorTickMark val="none"/>
        <tickLblPos val="nextTo"/>
        <spPr>
          <a:ln xmlns:a="http://schemas.openxmlformats.org/drawingml/2006/main" w="12700" cap="flat">
            <a:noFill/>
            <a:prstDash val="solid"/>
            <a:miter lim="400000"/>
          </a:ln>
        </spPr>
        <txPr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000" b="0" i="0" strike="noStrike">
                <a:solidFill>
                  <a:srgbClr val="000000"/>
                </a:solidFill>
                <a:latin typeface="Helvetica Neue"/>
              </a:defRPr>
            </a:pPr>
            <a:r>
              <a:t/>
            </a:r>
            <a:endParaRPr lang="zh-CN"/>
          </a:p>
        </txPr>
        <crossAx val="2094734552"/>
        <crosses val="autoZero"/>
        <crossBetween val="midCat"/>
        <majorUnit val="32.5"/>
        <minorUnit val="16.25"/>
      </valAx>
    </plotArea>
    <legend>
      <legendPos val="t"/>
      <layout>
        <manualLayout>
          <xMode val="edge"/>
          <yMode val="edge"/>
          <wMode val="factor"/>
          <hMode val="factor"/>
          <x val="0.0630295"/>
          <y val="0"/>
          <w val="0.891927"/>
          <h val="0.06307"/>
        </manualLayout>
      </layout>
      <overlay val="1"/>
      <spPr>
        <a:noFill xmlns:a="http://schemas.openxmlformats.org/drawingml/2006/main"/>
        <a:ln xmlns:a="http://schemas.openxmlformats.org/drawingml/2006/main" w="12700" cap="flat">
          <a:noFill/>
          <a:prstDash val="solid"/>
          <a:miter lim="400000"/>
        </a:ln>
      </spPr>
      <txPr>
        <a:bodyPr xmlns:a="http://schemas.openxmlformats.org/drawingml/2006/main" rot="0"/>
        <a:lstStyle xmlns:a="http://schemas.openxmlformats.org/drawingml/2006/main"/>
        <a:p xmlns:a="http://schemas.openxmlformats.org/drawingml/2006/main">
          <a:pPr>
            <a:defRPr sz="1000" b="0" i="0" strike="noStrike">
              <a:solidFill>
                <a:srgbClr val="000000"/>
              </a:solidFill>
              <a:latin typeface="Helvetica Neue"/>
            </a:defRPr>
          </a:pPr>
          <a:r>
            <a:t/>
          </a:r>
          <a:endParaRPr lang="zh-CN"/>
        </a:p>
      </txPr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twoCellAnchor>
    <from>
      <col>0</col>
      <colOff>268637</colOff>
      <row>0</row>
      <rowOff>80766</rowOff>
    </from>
    <to>
      <col>5</col>
      <colOff>542926</colOff>
      <row>0</row>
      <rowOff>3609975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3</col>
      <colOff>666027</colOff>
      <row>0</row>
      <rowOff>0</rowOff>
    </from>
    <to>
      <col>10</col>
      <colOff>1030835</colOff>
      <row>16</row>
      <rowOff>247569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3</col>
      <colOff>746923</colOff>
      <row>0</row>
      <rowOff>0</rowOff>
    </from>
    <to>
      <col>10</col>
      <colOff>771065</colOff>
      <row>16</row>
      <rowOff>247569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3</col>
      <colOff>460233</colOff>
      <row>0</row>
      <rowOff>7992</rowOff>
    </from>
    <to>
      <col>10</col>
      <colOff>456131</colOff>
      <row>16</row>
      <rowOff>255562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4</col>
      <colOff>630209</colOff>
      <row>0</row>
      <rowOff>7992</rowOff>
    </from>
    <to>
      <col>11</col>
      <colOff>661413</colOff>
      <row>16</row>
      <rowOff>255562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21_Table_and_Chart">
  <a:themeElements>
    <a:clrScheme name="21_Table_and_Chart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21_Table_and_Char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21_Table_and_Char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14"/>
  <sheetViews>
    <sheetView showGridLines="0" tabSelected="1" workbookViewId="0">
      <pane xSplit="1" ySplit="2" topLeftCell="D3" activePane="bottomRight" state="frozen"/>
      <selection pane="topRight" activeCell="A1" sqref="A1"/>
      <selection pane="bottomLeft" activeCell="A1" sqref="A1"/>
      <selection pane="bottomRight" activeCell="S2" sqref="S1:S1048576"/>
    </sheetView>
  </sheetViews>
  <sheetFormatPr baseColWidth="8" defaultColWidth="16.28515625" defaultRowHeight="19.9" customHeight="1"/>
  <cols>
    <col width="16.28515625" customWidth="1" style="36" min="1" max="10"/>
    <col width="16.28515625" customWidth="1" style="36" min="11" max="18"/>
    <col width="16.28515625" customWidth="1" style="36" min="19" max="19"/>
    <col width="16.28515625" customWidth="1" style="36" min="20" max="16384"/>
  </cols>
  <sheetData>
    <row r="1" ht="30.95" customHeight="1" s="41">
      <c r="A1" s="40" t="inlineStr">
        <is>
          <t>表格 3</t>
        </is>
      </c>
    </row>
    <row r="2" ht="37.15" customHeight="1" s="41">
      <c r="A2" s="2" t="inlineStr">
        <is>
          <t>检测项目</t>
        </is>
      </c>
      <c r="B2" s="2" t="inlineStr">
        <is>
          <t>单位</t>
        </is>
      </c>
      <c r="C2" s="2" t="inlineStr">
        <is>
          <t>参考值范围</t>
        </is>
      </c>
      <c r="D2" s="2" t="inlineStr">
        <is>
          <t>2026-02-04 样本号2</t>
        </is>
      </c>
      <c r="E2" s="2" t="inlineStr">
        <is>
          <t>2026-02-06 样本号8</t>
        </is>
      </c>
      <c r="F2" s="2" t="inlineStr">
        <is>
          <t>2026-02-09 样本号A2264180333</t>
        </is>
      </c>
      <c r="G2" s="2" t="inlineStr">
        <is>
          <t>2026-02-13 样本号A2264196089</t>
        </is>
      </c>
      <c r="H2" s="42" t="n">
        <v>46078</v>
      </c>
      <c r="I2" s="43" t="n">
        <v>46086</v>
      </c>
      <c r="J2" s="5" t="n">
        <v>46098</v>
      </c>
      <c r="K2" s="43" t="n">
        <v>46108</v>
      </c>
      <c r="L2" s="43" t="n">
        <v>46122</v>
      </c>
      <c r="M2" s="43" t="n">
        <v>46129</v>
      </c>
      <c r="N2" s="43" t="n">
        <v>46139</v>
      </c>
      <c r="O2" s="43" t="n">
        <v>46148</v>
      </c>
      <c r="P2" s="43" t="n">
        <v>46155</v>
      </c>
      <c r="Q2" s="43" t="n">
        <v>46183</v>
      </c>
      <c r="R2" s="43" t="n">
        <v>46239</v>
      </c>
    </row>
    <row r="3" ht="30" customHeight="1" s="41">
      <c r="A3" s="6" t="inlineStr">
        <is>
          <t>总T细胞(T%)</t>
        </is>
      </c>
      <c r="B3" s="7" t="inlineStr">
        <is>
          <t>%</t>
        </is>
      </c>
      <c r="C3" s="8" t="inlineStr">
        <is>
          <t>51~85</t>
        </is>
      </c>
      <c r="D3" s="9" t="n">
        <v>70.31</v>
      </c>
      <c r="E3" s="9" t="n">
        <v>77.02</v>
      </c>
      <c r="F3" s="9" t="n">
        <v>81.66</v>
      </c>
      <c r="G3" s="8" t="inlineStr">
        <is>
          <t>↑96.98</t>
        </is>
      </c>
      <c r="H3" s="8" t="inlineStr">
        <is>
          <t>↑96.05</t>
        </is>
      </c>
      <c r="I3" s="8" t="inlineStr">
        <is>
          <t>↑96.44</t>
        </is>
      </c>
      <c r="J3" s="8" t="inlineStr">
        <is>
          <t>↑97.79</t>
        </is>
      </c>
      <c r="K3" s="8" t="inlineStr">
        <is>
          <t>↑98.60</t>
        </is>
      </c>
      <c r="L3" s="8" t="inlineStr">
        <is>
          <t>↑92.58</t>
        </is>
      </c>
      <c r="M3" s="8" t="inlineStr">
        <is>
          <t>↑94.22</t>
        </is>
      </c>
      <c r="N3" s="8" t="inlineStr">
        <is>
          <t>↑92.62</t>
        </is>
      </c>
      <c r="O3" s="8" t="inlineStr">
        <is>
          <t>↑95.63</t>
        </is>
      </c>
      <c r="P3" s="8" t="inlineStr">
        <is>
          <t>↑95.78</t>
        </is>
      </c>
      <c r="Q3" s="8" t="inlineStr">
        <is>
          <t>↑91.07</t>
        </is>
      </c>
      <c r="R3" s="8" t="inlineStr">
        <is>
          <t>↑86.43</t>
        </is>
      </c>
    </row>
    <row r="4" ht="48.75" customHeight="1" s="41">
      <c r="A4" s="10" t="inlineStr">
        <is>
          <t>辅助性T细胞(CD3+CD4+T%)</t>
        </is>
      </c>
      <c r="B4" s="11" t="inlineStr">
        <is>
          <t>%</t>
        </is>
      </c>
      <c r="C4" s="12" t="inlineStr">
        <is>
          <t>33~58</t>
        </is>
      </c>
      <c r="D4" s="13" t="n">
        <v>34.27</v>
      </c>
      <c r="E4" s="13" t="n">
        <v>33.43</v>
      </c>
      <c r="F4" s="12" t="inlineStr">
        <is>
          <t>↓17.29</t>
        </is>
      </c>
      <c r="G4" s="12" t="inlineStr">
        <is>
          <t>↓8.2</t>
        </is>
      </c>
      <c r="H4" s="12" t="inlineStr">
        <is>
          <t>↓5.04</t>
        </is>
      </c>
      <c r="I4" s="12" t="inlineStr">
        <is>
          <t>↓7.68</t>
        </is>
      </c>
      <c r="J4" s="12" t="inlineStr">
        <is>
          <t>↓9.53</t>
        </is>
      </c>
      <c r="K4" s="12" t="inlineStr">
        <is>
          <t>↓11.04</t>
        </is>
      </c>
      <c r="L4" s="12" t="inlineStr">
        <is>
          <t>↓14.86</t>
        </is>
      </c>
      <c r="M4" s="12" t="inlineStr">
        <is>
          <t>↓10.56</t>
        </is>
      </c>
      <c r="N4" s="12" t="inlineStr">
        <is>
          <t>↓11.41</t>
        </is>
      </c>
      <c r="O4" s="12" t="inlineStr">
        <is>
          <t>↓13.81</t>
        </is>
      </c>
      <c r="P4" s="12" t="inlineStr">
        <is>
          <t>↓14.74</t>
        </is>
      </c>
      <c r="Q4" s="12" t="inlineStr">
        <is>
          <t>↓16.18</t>
        </is>
      </c>
      <c r="R4" s="12" t="inlineStr">
        <is>
          <t>↓13.95</t>
        </is>
      </c>
    </row>
    <row r="5" ht="48.75" customHeight="1" s="41">
      <c r="A5" s="10" t="inlineStr">
        <is>
          <t>杀伤性T细胞(CD3+CD8+T%)</t>
        </is>
      </c>
      <c r="B5" s="11" t="inlineStr">
        <is>
          <t>%</t>
        </is>
      </c>
      <c r="C5" s="12" t="inlineStr">
        <is>
          <t>9~39</t>
        </is>
      </c>
      <c r="D5" s="12" t="inlineStr">
        <is>
          <t>↑49.44</t>
        </is>
      </c>
      <c r="E5" s="12" t="inlineStr">
        <is>
          <t>↑49.21</t>
        </is>
      </c>
      <c r="F5" s="12" t="inlineStr">
        <is>
          <t>↑59.06</t>
        </is>
      </c>
      <c r="G5" s="12" t="inlineStr">
        <is>
          <t>↑74.64</t>
        </is>
      </c>
      <c r="H5" s="12" t="inlineStr">
        <is>
          <t>↑79.09</t>
        </is>
      </c>
      <c r="I5" s="12" t="inlineStr">
        <is>
          <t>↑76.05</t>
        </is>
      </c>
      <c r="J5" s="12" t="inlineStr">
        <is>
          <t>↑77.99</t>
        </is>
      </c>
      <c r="K5" s="12" t="inlineStr">
        <is>
          <t>↑79.36</t>
        </is>
      </c>
      <c r="L5" s="12" t="inlineStr">
        <is>
          <t>↑72.33</t>
        </is>
      </c>
      <c r="M5" s="12" t="inlineStr">
        <is>
          <t>↑76.99</t>
        </is>
      </c>
      <c r="N5" s="12" t="inlineStr">
        <is>
          <t>↑74.75</t>
        </is>
      </c>
      <c r="O5" s="12" t="inlineStr">
        <is>
          <t>↑76.94</t>
        </is>
      </c>
      <c r="P5" s="12" t="inlineStr">
        <is>
          <t>↑76.35</t>
        </is>
      </c>
      <c r="Q5" s="12" t="inlineStr">
        <is>
          <t>↑71.07</t>
        </is>
      </c>
      <c r="R5" s="12" t="inlineStr">
        <is>
          <t>↑64.58</t>
        </is>
      </c>
    </row>
    <row r="6" ht="37.5" customHeight="1" s="41">
      <c r="A6" s="10" t="inlineStr">
        <is>
          <t>总T淋巴细胞计数(T#)</t>
        </is>
      </c>
      <c r="B6" s="11" t="inlineStr">
        <is>
          <t>个/μL</t>
        </is>
      </c>
      <c r="C6" s="12" t="inlineStr">
        <is>
          <t>723~2737</t>
        </is>
      </c>
      <c r="D6" s="12" t="inlineStr">
        <is>
          <t>↓408</t>
        </is>
      </c>
      <c r="E6" s="12" t="inlineStr">
        <is>
          <t>↓324</t>
        </is>
      </c>
      <c r="F6" s="13" t="n">
        <v>860</v>
      </c>
      <c r="G6" s="13" t="n">
        <v>2612</v>
      </c>
      <c r="H6" s="12" t="inlineStr">
        <is>
          <t>↑3892</t>
        </is>
      </c>
      <c r="I6" s="12" t="inlineStr">
        <is>
          <t>↑2826</t>
        </is>
      </c>
      <c r="J6" s="12" t="inlineStr">
        <is>
          <t>↑3016</t>
        </is>
      </c>
      <c r="K6" s="12" t="inlineStr">
        <is>
          <t>↑2938</t>
        </is>
      </c>
      <c r="L6" s="12" t="inlineStr">
        <is>
          <t>1719</t>
        </is>
      </c>
      <c r="M6" s="12" t="inlineStr">
        <is>
          <t>1770</t>
        </is>
      </c>
      <c r="N6" s="12" t="inlineStr">
        <is>
          <t>1502</t>
        </is>
      </c>
      <c r="O6" s="12" t="inlineStr">
        <is>
          <t>1646</t>
        </is>
      </c>
      <c r="P6" s="12" t="inlineStr">
        <is>
          <t>1558</t>
        </is>
      </c>
      <c r="Q6" s="12" t="inlineStr">
        <is>
          <t>623</t>
        </is>
      </c>
      <c r="R6" s="12" t="inlineStr">
        <is>
          <t>1290</t>
        </is>
      </c>
    </row>
    <row r="7" ht="56.25" customHeight="1" s="41">
      <c r="A7" s="10" t="inlineStr">
        <is>
          <t>辅助/诱导T淋巴细胞计数(CD4+T#)</t>
        </is>
      </c>
      <c r="B7" s="11" t="inlineStr">
        <is>
          <t>个/μL</t>
        </is>
      </c>
      <c r="C7" s="12" t="inlineStr">
        <is>
          <t>404~1612</t>
        </is>
      </c>
      <c r="D7" s="12" t="inlineStr">
        <is>
          <t>↓140</t>
        </is>
      </c>
      <c r="E7" s="12" t="inlineStr">
        <is>
          <t>↓108</t>
        </is>
      </c>
      <c r="F7" s="12" t="inlineStr">
        <is>
          <t>↓149</t>
        </is>
      </c>
      <c r="G7" s="12" t="inlineStr">
        <is>
          <t>↓214</t>
        </is>
      </c>
      <c r="H7" s="12" t="inlineStr">
        <is>
          <t>↓196</t>
        </is>
      </c>
      <c r="I7" s="12" t="inlineStr">
        <is>
          <t>↓222</t>
        </is>
      </c>
      <c r="J7" s="12" t="inlineStr">
        <is>
          <t>↓288</t>
        </is>
      </c>
      <c r="K7" s="12" t="inlineStr">
        <is>
          <t>↓324</t>
        </is>
      </c>
      <c r="L7" s="12" t="inlineStr">
        <is>
          <t>↓255</t>
        </is>
      </c>
      <c r="M7" s="12" t="inlineStr">
        <is>
          <t>↓187</t>
        </is>
      </c>
      <c r="N7" s="12" t="inlineStr">
        <is>
          <t>↓171</t>
        </is>
      </c>
      <c r="O7" s="12" t="inlineStr">
        <is>
          <t>↓227</t>
        </is>
      </c>
      <c r="P7" s="12" t="inlineStr">
        <is>
          <t>↓220</t>
        </is>
      </c>
      <c r="Q7" s="12" t="inlineStr">
        <is>
          <t>↓101</t>
        </is>
      </c>
      <c r="R7" s="12" t="inlineStr">
        <is>
          <t>↓180</t>
        </is>
      </c>
    </row>
    <row r="8" ht="51.4" customHeight="1" s="41">
      <c r="A8" s="10" t="inlineStr">
        <is>
          <t>抑制/细胞毒T淋巴细胞计数(CD8+T#)</t>
        </is>
      </c>
      <c r="B8" s="11" t="inlineStr">
        <is>
          <t>个/μL</t>
        </is>
      </c>
      <c r="C8" s="12" t="inlineStr">
        <is>
          <t>220~1129</t>
        </is>
      </c>
      <c r="D8" s="12" t="inlineStr">
        <is>
          <t>↓202</t>
        </is>
      </c>
      <c r="E8" s="12" t="inlineStr">
        <is>
          <t>↓159</t>
        </is>
      </c>
      <c r="F8" s="13" t="n">
        <v>508</v>
      </c>
      <c r="G8" s="12" t="inlineStr">
        <is>
          <t>↑1950</t>
        </is>
      </c>
      <c r="H8" s="12" t="inlineStr">
        <is>
          <t>↑3078</t>
        </is>
      </c>
      <c r="I8" s="12" t="inlineStr">
        <is>
          <t>↑2150</t>
        </is>
      </c>
      <c r="J8" s="12" t="inlineStr">
        <is>
          <t>↑2352</t>
        </is>
      </c>
      <c r="K8" s="12" t="inlineStr">
        <is>
          <t>↑2332</t>
        </is>
      </c>
      <c r="L8" s="12" t="inlineStr">
        <is>
          <t>↑1243</t>
        </is>
      </c>
      <c r="M8" s="12" t="inlineStr">
        <is>
          <t>↑1362</t>
        </is>
      </c>
      <c r="N8" s="39" t="inlineStr">
        <is>
          <t>1123</t>
        </is>
      </c>
      <c r="O8" s="39" t="inlineStr">
        <is>
          <t>↑1266</t>
        </is>
      </c>
      <c r="P8" s="39" t="inlineStr">
        <is>
          <t>↑1189</t>
        </is>
      </c>
      <c r="Q8" s="39" t="inlineStr">
        <is>
          <t>443</t>
        </is>
      </c>
      <c r="R8" s="39" t="inlineStr">
        <is>
          <t>822</t>
        </is>
      </c>
    </row>
    <row r="9" ht="38.25" customHeight="1" s="41">
      <c r="A9" s="10" t="inlineStr">
        <is>
          <t>CarT-T细胞(CD3+CarT%)</t>
        </is>
      </c>
      <c r="B9" s="11" t="inlineStr">
        <is>
          <t>%</t>
        </is>
      </c>
      <c r="C9" s="12" t="inlineStr">
        <is>
          <t>0~0</t>
        </is>
      </c>
      <c r="D9" s="12" t="inlineStr">
        <is>
          <t>↑0.24</t>
        </is>
      </c>
      <c r="E9" s="12" t="inlineStr">
        <is>
          <t>↑24.10</t>
        </is>
      </c>
      <c r="F9" s="12" t="inlineStr">
        <is>
          <t>↑31.35</t>
        </is>
      </c>
      <c r="G9" s="12" t="inlineStr">
        <is>
          <t>↑65.28</t>
        </is>
      </c>
      <c r="H9" s="12" t="inlineStr">
        <is>
          <t>↑76.58</t>
        </is>
      </c>
      <c r="I9" s="12" t="inlineStr">
        <is>
          <t>↑76.32</t>
        </is>
      </c>
      <c r="J9" s="12" t="inlineStr">
        <is>
          <t>↑71.27</t>
        </is>
      </c>
      <c r="K9" s="12" t="inlineStr">
        <is>
          <t>↑69.11</t>
        </is>
      </c>
      <c r="L9" s="12" t="inlineStr">
        <is>
          <t>↑52.50</t>
        </is>
      </c>
      <c r="M9" s="12" t="inlineStr">
        <is>
          <t>↑61.28</t>
        </is>
      </c>
      <c r="N9" s="12" t="inlineStr">
        <is>
          <t>↑60.55</t>
        </is>
      </c>
      <c r="O9" s="12" t="inlineStr">
        <is>
          <t>↑61.21</t>
        </is>
      </c>
      <c r="P9" s="12" t="inlineStr">
        <is>
          <t>↑60.86</t>
        </is>
      </c>
      <c r="Q9" s="12" t="inlineStr">
        <is>
          <t>↑47.5</t>
        </is>
      </c>
      <c r="R9" s="12" t="inlineStr">
        <is>
          <t>↑35.62</t>
        </is>
      </c>
    </row>
    <row r="10" ht="49.5" customHeight="1" s="41">
      <c r="A10" s="10" t="inlineStr">
        <is>
          <t>CD4+Car-T细胞(CD4+CarT%)</t>
        </is>
      </c>
      <c r="B10" s="11" t="inlineStr">
        <is>
          <t>%</t>
        </is>
      </c>
      <c r="C10" s="12" t="inlineStr">
        <is>
          <t>0~0</t>
        </is>
      </c>
      <c r="D10" s="13" t="n">
        <v>0</v>
      </c>
      <c r="E10" s="12" t="inlineStr">
        <is>
          <t>↑9.32</t>
        </is>
      </c>
      <c r="F10" s="12" t="inlineStr">
        <is>
          <t>↑1.84</t>
        </is>
      </c>
      <c r="G10" s="12" t="inlineStr">
        <is>
          <t>↑0.49</t>
        </is>
      </c>
      <c r="H10" s="12" t="inlineStr">
        <is>
          <t>↑0.69</t>
        </is>
      </c>
      <c r="I10" s="12" t="inlineStr">
        <is>
          <t>↑0.64</t>
        </is>
      </c>
      <c r="J10" s="12" t="inlineStr">
        <is>
          <t>↑0.09</t>
        </is>
      </c>
      <c r="K10" s="12" t="inlineStr">
        <is>
          <t>↑0.26</t>
        </is>
      </c>
      <c r="L10" s="12" t="inlineStr">
        <is>
          <t>↑0.25</t>
        </is>
      </c>
      <c r="M10" s="12" t="inlineStr">
        <is>
          <t>↑0.30</t>
        </is>
      </c>
      <c r="N10" s="12" t="inlineStr">
        <is>
          <t>↑0.33</t>
        </is>
      </c>
      <c r="O10" s="12" t="inlineStr">
        <is>
          <t>↑0.71</t>
        </is>
      </c>
      <c r="P10" s="12" t="inlineStr">
        <is>
          <t>↑0.51</t>
        </is>
      </c>
      <c r="Q10" s="12" t="inlineStr">
        <is>
          <t>↑0.17</t>
        </is>
      </c>
      <c r="R10" s="12" t="inlineStr">
        <is>
          <t>↑0.85</t>
        </is>
      </c>
    </row>
    <row r="11" ht="56.25" customHeight="1" s="41">
      <c r="A11" s="10" t="inlineStr">
        <is>
          <t>CD8+Car-T细胞(CD8+CarT%)</t>
        </is>
      </c>
      <c r="B11" s="11" t="inlineStr">
        <is>
          <t>%</t>
        </is>
      </c>
      <c r="C11" s="12" t="inlineStr">
        <is>
          <t>0~0</t>
        </is>
      </c>
      <c r="D11" s="12" t="inlineStr">
        <is>
          <t>↑84.62</t>
        </is>
      </c>
      <c r="E11" s="12" t="inlineStr">
        <is>
          <t>↑76.40</t>
        </is>
      </c>
      <c r="F11" s="12" t="inlineStr">
        <is>
          <t>↑76.44</t>
        </is>
      </c>
      <c r="G11" s="12" t="inlineStr">
        <is>
          <t>↑84.13</t>
        </is>
      </c>
      <c r="H11" s="12" t="inlineStr">
        <is>
          <t>↑85.23</t>
        </is>
      </c>
      <c r="I11" s="12" t="inlineStr">
        <is>
          <t>↑88.8</t>
        </is>
      </c>
      <c r="J11" s="12" t="inlineStr">
        <is>
          <t>↑90.05</t>
        </is>
      </c>
      <c r="K11" s="12" t="inlineStr">
        <is>
          <t>↑88.29</t>
        </is>
      </c>
      <c r="L11" s="12" t="inlineStr">
        <is>
          <t>↑93.46</t>
        </is>
      </c>
      <c r="M11" s="12" t="inlineStr">
        <is>
          <t>↑93.82</t>
        </is>
      </c>
      <c r="N11" s="12" t="inlineStr">
        <is>
          <t>↑87.84</t>
        </is>
      </c>
      <c r="O11" s="12" t="inlineStr">
        <is>
          <t>↑97.04</t>
        </is>
      </c>
      <c r="P11" s="12" t="inlineStr">
        <is>
          <t>↑93.81</t>
        </is>
      </c>
      <c r="Q11" s="12" t="inlineStr">
        <is>
          <t>↑89.34</t>
        </is>
      </c>
      <c r="R11" s="12" t="inlineStr">
        <is>
          <t>↑89.32</t>
        </is>
      </c>
    </row>
    <row r="12" ht="58.5" customHeight="1" s="41">
      <c r="A12" s="10" t="inlineStr">
        <is>
          <t>CarT-T细胞计数(CD3+CarT#)</t>
        </is>
      </c>
      <c r="B12" s="11" t="inlineStr">
        <is>
          <t>个/μL</t>
        </is>
      </c>
      <c r="C12" s="12" t="inlineStr">
        <is>
          <t>0~0</t>
        </is>
      </c>
      <c r="D12" s="12" t="inlineStr">
        <is>
          <t>↑1</t>
        </is>
      </c>
      <c r="E12" s="12" t="inlineStr">
        <is>
          <t>↑78</t>
        </is>
      </c>
      <c r="F12" s="12" t="inlineStr">
        <is>
          <t>↑270</t>
        </is>
      </c>
      <c r="G12" s="12" t="inlineStr">
        <is>
          <t>↑1705</t>
        </is>
      </c>
      <c r="H12" s="12" t="inlineStr">
        <is>
          <t>↑2981</t>
        </is>
      </c>
      <c r="I12" s="12" t="inlineStr">
        <is>
          <t>↑2157</t>
        </is>
      </c>
      <c r="J12" s="12" t="inlineStr">
        <is>
          <t>↑2150</t>
        </is>
      </c>
      <c r="K12" s="12" t="inlineStr">
        <is>
          <t>↑2029</t>
        </is>
      </c>
      <c r="L12" s="12" t="inlineStr">
        <is>
          <t>↑902</t>
        </is>
      </c>
      <c r="M12" s="12" t="inlineStr">
        <is>
          <t>↑1084</t>
        </is>
      </c>
      <c r="N12" s="12" t="inlineStr">
        <is>
          <t>↑909</t>
        </is>
      </c>
      <c r="O12" s="12" t="inlineStr">
        <is>
          <t>↑1007</t>
        </is>
      </c>
      <c r="P12" s="12" t="inlineStr">
        <is>
          <t>↑948</t>
        </is>
      </c>
      <c r="Q12" s="12" t="inlineStr">
        <is>
          <t>↑296</t>
        </is>
      </c>
      <c r="R12" s="12" t="inlineStr">
        <is>
          <t>↑460</t>
        </is>
      </c>
    </row>
    <row r="13" ht="51.4" customHeight="1" s="41">
      <c r="A13" s="10" t="inlineStr">
        <is>
          <t>CD4+Car-T细胞计数(CD4+CarT#)</t>
        </is>
      </c>
      <c r="B13" s="11" t="inlineStr">
        <is>
          <t>个/μL</t>
        </is>
      </c>
      <c r="C13" s="12" t="inlineStr">
        <is>
          <t>0~0</t>
        </is>
      </c>
      <c r="D13" s="13" t="n">
        <v>0</v>
      </c>
      <c r="E13" s="12" t="inlineStr">
        <is>
          <t>↑7</t>
        </is>
      </c>
      <c r="F13" s="12" t="inlineStr">
        <is>
          <t>↑5</t>
        </is>
      </c>
      <c r="G13" s="12" t="inlineStr">
        <is>
          <t>↑8</t>
        </is>
      </c>
      <c r="H13" s="12" t="inlineStr">
        <is>
          <t>↑21</t>
        </is>
      </c>
      <c r="I13" s="12" t="inlineStr">
        <is>
          <t>↑14</t>
        </is>
      </c>
      <c r="J13" s="12" t="inlineStr">
        <is>
          <t>↑2</t>
        </is>
      </c>
      <c r="K13" s="12" t="inlineStr">
        <is>
          <t>↑5</t>
        </is>
      </c>
      <c r="L13" s="12" t="inlineStr">
        <is>
          <t>↑2</t>
        </is>
      </c>
      <c r="M13" s="12" t="inlineStr">
        <is>
          <t>↑3</t>
        </is>
      </c>
      <c r="N13" s="12" t="inlineStr">
        <is>
          <t>↑3</t>
        </is>
      </c>
      <c r="O13" s="12" t="inlineStr">
        <is>
          <t>↑7</t>
        </is>
      </c>
      <c r="P13" s="12" t="inlineStr">
        <is>
          <t>↑5</t>
        </is>
      </c>
      <c r="Q13" s="12" t="inlineStr">
        <is>
          <t>↑1</t>
        </is>
      </c>
      <c r="R13" s="12" t="inlineStr">
        <is>
          <t>↑460</t>
        </is>
      </c>
    </row>
    <row r="14" ht="51.4" customHeight="1" s="41">
      <c r="A14" s="10" t="inlineStr">
        <is>
          <t>CD8+Car-T细胞计数(CD8+CarT#)</t>
        </is>
      </c>
      <c r="B14" s="11" t="inlineStr">
        <is>
          <t>个/μL</t>
        </is>
      </c>
      <c r="C14" s="12" t="inlineStr">
        <is>
          <t>0~0</t>
        </is>
      </c>
      <c r="D14" s="12" t="inlineStr">
        <is>
          <t>↑1</t>
        </is>
      </c>
      <c r="E14" s="12" t="inlineStr">
        <is>
          <t>↑60</t>
        </is>
      </c>
      <c r="F14" s="12" t="inlineStr">
        <is>
          <t>↑206</t>
        </is>
      </c>
      <c r="G14" s="12" t="inlineStr">
        <is>
          <t>↑1435</t>
        </is>
      </c>
      <c r="H14" s="12" t="inlineStr">
        <is>
          <t>↑2540</t>
        </is>
      </c>
      <c r="I14" s="12" t="inlineStr">
        <is>
          <t>↑1915</t>
        </is>
      </c>
      <c r="J14" s="12" t="inlineStr">
        <is>
          <t>↑1960</t>
        </is>
      </c>
      <c r="K14" s="12" t="inlineStr">
        <is>
          <t>↑1792</t>
        </is>
      </c>
      <c r="L14" s="12" t="inlineStr">
        <is>
          <t>↑843</t>
        </is>
      </c>
      <c r="M14" s="12" t="inlineStr">
        <is>
          <t>↑1017</t>
        </is>
      </c>
      <c r="N14" s="12" t="inlineStr">
        <is>
          <t>↑797</t>
        </is>
      </c>
      <c r="O14" s="12" t="inlineStr">
        <is>
          <t>↑971</t>
        </is>
      </c>
      <c r="P14" s="12" t="inlineStr">
        <is>
          <t>↑899</t>
        </is>
      </c>
      <c r="Q14" s="12" t="inlineStr">
        <is>
          <t>↑265</t>
        </is>
      </c>
      <c r="R14" s="12" t="inlineStr">
        <is>
          <t>↑410</t>
        </is>
      </c>
    </row>
  </sheetData>
  <mergeCells count="1">
    <mergeCell ref="A1:R1"/>
  </mergeCells>
  <pageMargins left="1" right="1" top="1" bottom="1" header="0.25" footer="0.25"/>
  <pageSetup orientation="portrait"/>
  <headerFooter>
    <oddHeader/>
    <oddFooter>&amp;C&amp;"Helvetica Neue,Regular"&amp;11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27"/>
  <sheetViews>
    <sheetView showGridLines="0" workbookViewId="0">
      <selection activeCell="F26" sqref="F26"/>
    </sheetView>
  </sheetViews>
  <sheetFormatPr baseColWidth="8" defaultColWidth="27.7109375" defaultRowHeight="19.9" customHeight="1"/>
  <cols>
    <col width="24.7109375" customWidth="1" style="36" min="1" max="1"/>
    <col width="18.42578125" customWidth="1" style="36" min="2" max="2"/>
    <col width="18.7109375" customWidth="1" style="36" min="3" max="5"/>
    <col width="27.7109375" customWidth="1" style="36" min="6" max="6"/>
    <col width="27.7109375" customWidth="1" style="36" min="7" max="16384"/>
  </cols>
  <sheetData>
    <row r="1" ht="311.65" customHeight="1" s="41"/>
    <row r="2" ht="30.95" customHeight="1" s="41">
      <c r="A2" s="40" t="inlineStr">
        <is>
          <t>表格 1</t>
        </is>
      </c>
    </row>
    <row r="3" ht="22.5" customHeight="1" s="41">
      <c r="A3" s="15" t="inlineStr">
        <is>
          <t>时间</t>
        </is>
      </c>
      <c r="B3" s="15" t="inlineStr">
        <is>
          <t>乳酸脱氢酶</t>
        </is>
      </c>
      <c r="C3" s="15" t="n"/>
      <c r="D3" s="15" t="n"/>
      <c r="E3" s="15" t="n"/>
    </row>
    <row r="4" ht="20.25" customHeight="1" s="41">
      <c r="A4" s="16" t="inlineStr">
        <is>
          <t>2026.01.19</t>
        </is>
      </c>
      <c r="B4" s="17" t="n">
        <v>1482</v>
      </c>
      <c r="C4" s="18" t="n"/>
      <c r="D4" s="18" t="n"/>
      <c r="E4" s="18" t="n"/>
    </row>
    <row r="5" ht="20.1" customHeight="1" s="41">
      <c r="A5" s="19" t="inlineStr">
        <is>
          <t>2026.01.22</t>
        </is>
      </c>
      <c r="B5" s="20" t="n">
        <v>1381</v>
      </c>
      <c r="C5" s="21" t="n"/>
      <c r="D5" s="21" t="n"/>
      <c r="E5" s="21" t="n"/>
    </row>
    <row r="6" ht="20.1" customHeight="1" s="41">
      <c r="A6" s="19" t="inlineStr">
        <is>
          <t>2026.01.28</t>
        </is>
      </c>
      <c r="B6" s="22" t="n">
        <v>1355</v>
      </c>
      <c r="C6" s="23" t="n"/>
      <c r="D6" s="23" t="n"/>
      <c r="E6" s="23" t="n"/>
    </row>
    <row r="7" ht="20.1" customHeight="1" s="41">
      <c r="A7" s="19" t="inlineStr">
        <is>
          <t>2026.01.31</t>
        </is>
      </c>
      <c r="B7" s="20" t="n">
        <v>1459</v>
      </c>
      <c r="C7" s="21" t="n"/>
      <c r="D7" s="21" t="n"/>
      <c r="E7" s="21" t="n"/>
    </row>
    <row r="8" ht="20.1" customHeight="1" s="41">
      <c r="A8" s="19" t="inlineStr">
        <is>
          <t>2026.02.03</t>
        </is>
      </c>
      <c r="B8" s="22" t="n">
        <v>1481</v>
      </c>
      <c r="C8" s="23" t="n"/>
      <c r="D8" s="23" t="n"/>
      <c r="E8" s="23" t="n"/>
    </row>
    <row r="9" ht="20.1" customHeight="1" s="41">
      <c r="A9" s="19" t="inlineStr">
        <is>
          <t>2026.02.06</t>
        </is>
      </c>
      <c r="B9" s="20" t="n">
        <v>1394</v>
      </c>
      <c r="C9" s="21" t="n"/>
      <c r="D9" s="21" t="n"/>
      <c r="E9" s="21" t="n"/>
    </row>
    <row r="10" ht="20.1" customHeight="1" s="41">
      <c r="A10" s="19" t="inlineStr">
        <is>
          <t>2026.02.10</t>
        </is>
      </c>
      <c r="B10" s="22" t="n">
        <v>1534</v>
      </c>
      <c r="C10" s="23" t="n"/>
      <c r="D10" s="23" t="n"/>
      <c r="E10" s="23" t="n"/>
    </row>
    <row r="11" ht="20.1" customHeight="1" s="41">
      <c r="A11" s="19" t="inlineStr">
        <is>
          <t>2026.02.13</t>
        </is>
      </c>
      <c r="B11" s="20" t="n">
        <v>1512</v>
      </c>
      <c r="C11" s="21" t="n"/>
      <c r="D11" s="21" t="n"/>
      <c r="E11" s="21" t="n"/>
    </row>
    <row r="12" ht="20.1" customHeight="1" s="41">
      <c r="A12" s="19" t="inlineStr">
        <is>
          <t>2026.02.18</t>
        </is>
      </c>
      <c r="B12" s="22" t="n">
        <v>988</v>
      </c>
      <c r="C12" s="23" t="n"/>
      <c r="D12" s="23" t="n"/>
      <c r="E12" s="23" t="n"/>
    </row>
    <row r="13" ht="20.1" customHeight="1" s="41">
      <c r="A13" s="19" t="inlineStr">
        <is>
          <t>2026.02.20</t>
        </is>
      </c>
      <c r="B13" s="20" t="n">
        <v>792</v>
      </c>
      <c r="C13" s="21" t="n"/>
      <c r="D13" s="21" t="n"/>
      <c r="E13" s="21" t="n"/>
    </row>
    <row r="14" ht="20.1" customHeight="1" s="41">
      <c r="A14" s="19" t="inlineStr">
        <is>
          <t>2026.02.25</t>
        </is>
      </c>
      <c r="B14" s="22" t="n">
        <v>634</v>
      </c>
      <c r="C14" s="23" t="n"/>
      <c r="D14" s="23" t="n"/>
      <c r="E14" s="23" t="n"/>
    </row>
    <row r="15" ht="20.1" customHeight="1" s="41">
      <c r="A15" s="19" t="inlineStr">
        <is>
          <t>2026.03.05</t>
        </is>
      </c>
      <c r="B15" s="20" t="n">
        <v>362</v>
      </c>
      <c r="C15" s="21" t="n"/>
      <c r="D15" s="21" t="n"/>
      <c r="E15" s="21" t="n"/>
    </row>
    <row r="16" ht="20.1" customHeight="1" s="41">
      <c r="A16" s="19" t="inlineStr">
        <is>
          <t>2026.03.17</t>
        </is>
      </c>
      <c r="B16" s="22" t="n">
        <v>245</v>
      </c>
      <c r="C16" s="23" t="n"/>
      <c r="D16" s="23" t="n"/>
      <c r="E16" s="23" t="n"/>
    </row>
    <row r="17" ht="20.1" customHeight="1" s="41">
      <c r="A17" s="19" t="inlineStr">
        <is>
          <t>2026.03.27</t>
        </is>
      </c>
      <c r="B17" s="20" t="n">
        <v>269</v>
      </c>
      <c r="C17" s="21" t="n"/>
      <c r="D17" s="21" t="n"/>
      <c r="E17" s="21" t="n"/>
    </row>
    <row r="18" ht="20.1" customFormat="1" customHeight="1" s="36">
      <c r="A18" s="19" t="inlineStr">
        <is>
          <t>2026.04.03</t>
        </is>
      </c>
      <c r="B18" s="22" t="n">
        <v>364</v>
      </c>
      <c r="C18" s="21" t="n"/>
      <c r="D18" s="21" t="n"/>
      <c r="E18" s="21" t="n"/>
    </row>
    <row r="19" ht="20.1" customFormat="1" customHeight="1" s="36">
      <c r="A19" s="19" t="inlineStr">
        <is>
          <t>2026.04.10</t>
        </is>
      </c>
      <c r="B19" s="22" t="n">
        <v>362</v>
      </c>
      <c r="C19" s="21" t="n"/>
      <c r="D19" s="21" t="n"/>
      <c r="E19" s="21" t="n"/>
    </row>
    <row r="20" ht="20.1" customFormat="1" customHeight="1" s="36">
      <c r="A20" s="19" t="inlineStr">
        <is>
          <t>2026.04.17</t>
        </is>
      </c>
      <c r="B20" s="22" t="n">
        <v>341</v>
      </c>
      <c r="C20" s="21" t="n"/>
      <c r="D20" s="21" t="n"/>
      <c r="E20" s="21" t="n"/>
    </row>
    <row r="21" ht="19.5" customFormat="1" customHeight="1" s="36">
      <c r="A21" s="19" t="inlineStr">
        <is>
          <t>2026.04.27</t>
        </is>
      </c>
      <c r="B21" s="22" t="n">
        <v>427</v>
      </c>
      <c r="C21" s="23" t="n"/>
      <c r="D21" s="23" t="n"/>
      <c r="E21" s="23" t="n"/>
    </row>
    <row r="22" ht="19.5" customFormat="1" customHeight="1" s="36">
      <c r="A22" s="19" t="inlineStr">
        <is>
          <t>2026.05.06</t>
        </is>
      </c>
      <c r="B22" s="22" t="n">
        <v>434</v>
      </c>
      <c r="C22" s="23" t="n"/>
      <c r="D22" s="23" t="n"/>
      <c r="E22" s="23" t="n"/>
    </row>
    <row r="23" ht="19.5" customFormat="1" customHeight="1" s="36">
      <c r="A23" s="19" t="inlineStr">
        <is>
          <t>2026.05.13</t>
        </is>
      </c>
      <c r="B23" s="22" t="n">
        <v>416</v>
      </c>
      <c r="C23" s="23" t="n"/>
      <c r="D23" s="23" t="n"/>
      <c r="E23" s="23" t="n"/>
    </row>
    <row r="24" ht="19.5" customFormat="1" customHeight="1" s="36">
      <c r="A24" s="19" t="inlineStr">
        <is>
          <t>2026.06.11</t>
        </is>
      </c>
      <c r="B24" s="22" t="n">
        <v>409</v>
      </c>
      <c r="C24" s="23" t="n"/>
      <c r="D24" s="23" t="n"/>
      <c r="E24" s="23" t="n"/>
    </row>
    <row r="25" ht="19.5" customFormat="1" customHeight="1" s="36">
      <c r="A25" s="19" t="inlineStr">
        <is>
          <t>2026.08.04</t>
        </is>
      </c>
      <c r="B25" s="22" t="n">
        <v>749</v>
      </c>
      <c r="C25" s="23" t="n"/>
      <c r="D25" s="23" t="n"/>
      <c r="E25" s="23" t="n"/>
    </row>
    <row r="26" ht="19.5" customFormat="1" customHeight="1" s="36">
      <c r="A26" s="19" t="inlineStr">
        <is>
          <t>2026.08.21</t>
        </is>
      </c>
      <c r="B26" s="22" t="n">
        <v>449</v>
      </c>
      <c r="C26" s="23" t="n"/>
      <c r="D26" s="23" t="n"/>
      <c r="E26" s="23" t="n"/>
    </row>
    <row r="27" ht="19.5" customHeight="1" s="41">
      <c r="A27" s="19" t="inlineStr">
        <is>
          <t>2026.09.23</t>
        </is>
      </c>
      <c r="B27" s="22" t="n">
        <v>213</v>
      </c>
      <c r="C27" s="23" t="n"/>
      <c r="D27" s="23" t="n"/>
      <c r="E27" s="23" t="n"/>
    </row>
  </sheetData>
  <mergeCells count="1">
    <mergeCell ref="A2:E2"/>
  </mergeCells>
  <pageMargins left="0.25" right="0.25" top="0.25" bottom="0.25" header="0.25" footer="0.25"/>
  <pageSetup orientation="portrait" scale="51"/>
  <headerFooter>
    <oddHeader/>
    <oddFooter>&amp;C&amp;"Helvetica Neue,Regular"&amp;12 &amp;K000000&amp;P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7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3" sqref="B3"/>
    </sheetView>
  </sheetViews>
  <sheetFormatPr baseColWidth="8" defaultColWidth="16.28515625" defaultRowHeight="19.9" customHeight="1"/>
  <cols>
    <col width="16.28515625" customWidth="1" style="36" min="1" max="4"/>
    <col width="16.28515625" customWidth="1" style="36" min="5" max="16384"/>
  </cols>
  <sheetData>
    <row r="1" ht="30.95" customHeight="1" s="41">
      <c r="A1" s="40" t="inlineStr">
        <is>
          <t>表格 1-1</t>
        </is>
      </c>
    </row>
    <row r="2" ht="22.5" customHeight="1" s="41">
      <c r="A2" s="15" t="inlineStr">
        <is>
          <t>时间</t>
        </is>
      </c>
      <c r="B2" s="15" t="inlineStr">
        <is>
          <t>白细胞</t>
        </is>
      </c>
      <c r="C2" s="25" t="n"/>
    </row>
    <row r="3" ht="20.25" customHeight="1" s="41">
      <c r="A3" s="44" t="n">
        <v>46050</v>
      </c>
      <c r="B3" s="27" t="n">
        <v>10.94</v>
      </c>
      <c r="C3" s="37" t="n"/>
    </row>
    <row r="4" ht="20.1" customHeight="1" s="41">
      <c r="A4" s="45" t="n">
        <v>46053</v>
      </c>
      <c r="B4" s="30" t="n">
        <v>8.24</v>
      </c>
      <c r="C4" s="38" t="n"/>
    </row>
    <row r="5" ht="20.1" customHeight="1" s="41">
      <c r="A5" s="45" t="n">
        <v>46056</v>
      </c>
      <c r="B5" s="30" t="n">
        <v>5.45</v>
      </c>
      <c r="C5" s="38" t="n"/>
    </row>
    <row r="6" ht="20.1" customHeight="1" s="41">
      <c r="A6" s="45" t="n">
        <v>46059</v>
      </c>
      <c r="B6" s="30" t="n">
        <v>6.8</v>
      </c>
      <c r="C6" s="38" t="n"/>
    </row>
    <row r="7" ht="20.1" customHeight="1" s="41">
      <c r="A7" s="45" t="n">
        <v>46062</v>
      </c>
      <c r="B7" s="30" t="n">
        <v>6.42</v>
      </c>
      <c r="C7" s="38" t="n"/>
    </row>
    <row r="8" ht="20.1" customHeight="1" s="41">
      <c r="A8" s="45" t="n">
        <v>46063</v>
      </c>
      <c r="B8" s="30" t="n">
        <v>8.33</v>
      </c>
      <c r="C8" s="38" t="n"/>
    </row>
    <row r="9" ht="20.1" customHeight="1" s="41">
      <c r="A9" s="45" t="n">
        <v>46066</v>
      </c>
      <c r="B9" s="30" t="n">
        <v>8.57</v>
      </c>
      <c r="C9" s="38" t="n"/>
    </row>
    <row r="10" ht="22.35" customHeight="1" s="41">
      <c r="A10" s="45" t="n">
        <v>46071</v>
      </c>
      <c r="B10" s="30" t="n">
        <v>10.12</v>
      </c>
      <c r="C10" s="32" t="inlineStr">
        <is>
          <t>海南外院</t>
        </is>
      </c>
    </row>
    <row r="11" ht="22.35" customHeight="1" s="41">
      <c r="A11" s="45" t="n">
        <v>46073</v>
      </c>
      <c r="B11" s="30" t="n">
        <v>9.94</v>
      </c>
      <c r="C11" s="32" t="inlineStr">
        <is>
          <t>海南外院</t>
        </is>
      </c>
    </row>
    <row r="12" ht="20.1" customHeight="1" s="41">
      <c r="A12" s="45" t="n">
        <v>46078</v>
      </c>
      <c r="B12" s="30" t="n">
        <v>6.61</v>
      </c>
      <c r="C12" s="38" t="n"/>
    </row>
    <row r="13" ht="22.35" customHeight="1" s="41">
      <c r="A13" s="45" t="n">
        <v>46079</v>
      </c>
      <c r="B13" s="30" t="n">
        <v>5.81</v>
      </c>
      <c r="C13" s="32" t="inlineStr">
        <is>
          <t>社康指尖采血</t>
        </is>
      </c>
    </row>
    <row r="14" ht="22.35" customHeight="1" s="41">
      <c r="A14" s="45" t="n">
        <v>46080</v>
      </c>
      <c r="B14" s="30" t="n">
        <v>6.05</v>
      </c>
      <c r="C14" s="32" t="inlineStr">
        <is>
          <t>社康指尖采血</t>
        </is>
      </c>
    </row>
    <row r="15" ht="22.35" customHeight="1" s="41">
      <c r="A15" s="45" t="n">
        <v>46081</v>
      </c>
      <c r="B15" s="30" t="n">
        <v>5.98</v>
      </c>
      <c r="C15" s="32" t="inlineStr">
        <is>
          <t>社康指尖采血</t>
        </is>
      </c>
    </row>
    <row r="16" ht="22.35" customHeight="1" s="41">
      <c r="A16" s="45" t="n">
        <v>46082</v>
      </c>
      <c r="B16" s="30" t="n">
        <v>5.3</v>
      </c>
      <c r="C16" s="32" t="inlineStr">
        <is>
          <t>深圳外院</t>
        </is>
      </c>
    </row>
    <row r="17" ht="22.35" customHeight="1" s="41">
      <c r="A17" s="45" t="n">
        <v>46083</v>
      </c>
      <c r="B17" s="30" t="n">
        <v>4.96</v>
      </c>
      <c r="C17" s="32" t="inlineStr">
        <is>
          <t>深圳外院</t>
        </is>
      </c>
    </row>
    <row r="18" ht="22.35" customHeight="1" s="41">
      <c r="A18" s="45" t="n">
        <v>46084</v>
      </c>
      <c r="B18" s="30" t="n">
        <v>5.23</v>
      </c>
      <c r="C18" s="32" t="inlineStr">
        <is>
          <t>社康指尖采血</t>
        </is>
      </c>
    </row>
    <row r="19" ht="20.1" customHeight="1" s="41">
      <c r="A19" s="45" t="n">
        <v>46086</v>
      </c>
      <c r="B19" s="30" t="n">
        <v>4.81</v>
      </c>
      <c r="C19" s="38" t="n"/>
    </row>
    <row r="20" ht="20.1" customHeight="1" s="41">
      <c r="A20" s="45" t="n">
        <v>46087</v>
      </c>
      <c r="B20" s="30" t="n">
        <v>3.11</v>
      </c>
      <c r="C20" s="38" t="n"/>
    </row>
    <row r="21" ht="20.1" customHeight="1" s="41">
      <c r="A21" s="45" t="n">
        <v>46088</v>
      </c>
      <c r="B21" s="30" t="n">
        <v>3.11</v>
      </c>
      <c r="C21" s="38" t="n"/>
    </row>
    <row r="22" ht="20.1" customHeight="1" s="41">
      <c r="A22" s="45" t="n">
        <v>46089</v>
      </c>
      <c r="B22" s="30" t="n">
        <v>3.44</v>
      </c>
      <c r="C22" s="38" t="n"/>
    </row>
    <row r="23" ht="20.1" customHeight="1" s="41">
      <c r="A23" s="45" t="n">
        <v>46090</v>
      </c>
      <c r="B23" s="30" t="n">
        <v>3.14</v>
      </c>
      <c r="C23" s="38" t="n"/>
    </row>
    <row r="24" ht="20.1" customHeight="1" s="41">
      <c r="A24" s="45" t="n">
        <v>46092</v>
      </c>
      <c r="B24" s="30" t="n">
        <v>3.13</v>
      </c>
      <c r="C24" s="38" t="n"/>
    </row>
    <row r="25" ht="20.1" customHeight="1" s="41">
      <c r="A25" s="45" t="n">
        <v>46093</v>
      </c>
      <c r="B25" s="30" t="n">
        <v>2.09</v>
      </c>
      <c r="C25" s="38" t="n"/>
    </row>
    <row r="26" ht="20.1" customHeight="1" s="41">
      <c r="A26" s="45" t="n">
        <v>46095</v>
      </c>
      <c r="B26" s="30" t="n">
        <v>2.91</v>
      </c>
      <c r="C26" s="38" t="n"/>
    </row>
    <row r="27" ht="20.1" customHeight="1" s="41">
      <c r="A27" s="45" t="n">
        <v>46096</v>
      </c>
      <c r="B27" s="30" t="n">
        <v>2.92</v>
      </c>
      <c r="C27" s="38" t="n"/>
    </row>
    <row r="28" ht="20.1" customHeight="1" s="41">
      <c r="A28" s="45" t="n">
        <v>46098</v>
      </c>
      <c r="B28" s="30" t="n">
        <v>3.43</v>
      </c>
      <c r="C28" s="38" t="n"/>
    </row>
    <row r="29" ht="20.1" customHeight="1" s="41">
      <c r="A29" s="45" t="n">
        <v>46099</v>
      </c>
      <c r="B29" s="30" t="n">
        <v>3.66</v>
      </c>
      <c r="C29" s="38" t="n"/>
    </row>
    <row r="30" ht="20.1" customHeight="1" s="41">
      <c r="A30" s="45" t="n">
        <v>46101</v>
      </c>
      <c r="B30" s="30" t="n">
        <v>3.92</v>
      </c>
      <c r="C30" s="38" t="n"/>
    </row>
    <row r="31" ht="20.1" customHeight="1" s="41">
      <c r="A31" s="45" t="n">
        <v>46102</v>
      </c>
      <c r="B31" s="30" t="n">
        <v>4.42</v>
      </c>
      <c r="C31" s="38" t="n"/>
    </row>
    <row r="32" ht="20.1" customHeight="1" s="41">
      <c r="A32" s="45" t="n">
        <v>46103</v>
      </c>
      <c r="B32" s="30" t="n">
        <v>4.72</v>
      </c>
      <c r="C32" s="38" t="n"/>
    </row>
    <row r="33" ht="20.1" customHeight="1" s="41">
      <c r="A33" s="45" t="n">
        <v>46105</v>
      </c>
      <c r="B33" s="30" t="n">
        <v>6.59</v>
      </c>
      <c r="C33" s="38" t="n"/>
    </row>
    <row r="34" ht="20.1" customHeight="1" s="41">
      <c r="A34" s="45" t="n">
        <v>46106</v>
      </c>
      <c r="B34" s="30" t="n">
        <v>8.529999999999999</v>
      </c>
      <c r="C34" s="38" t="n"/>
    </row>
    <row r="35" ht="20.1" customHeight="1" s="41">
      <c r="A35" s="45" t="n">
        <v>46107</v>
      </c>
      <c r="B35" s="30" t="n">
        <v>6.22</v>
      </c>
      <c r="C35" s="38" t="n"/>
    </row>
    <row r="36" ht="20.1" customHeight="1" s="41">
      <c r="A36" s="45" t="n">
        <v>46108</v>
      </c>
      <c r="B36" s="30" t="n">
        <v>4.16</v>
      </c>
      <c r="C36" s="38" t="n"/>
    </row>
    <row r="37" ht="20.1" customHeight="1" s="41">
      <c r="A37" s="45" t="n">
        <v>46110</v>
      </c>
      <c r="B37" s="30" t="n">
        <v>11.79</v>
      </c>
      <c r="C37" s="38" t="n"/>
    </row>
  </sheetData>
  <mergeCells count="1">
    <mergeCell ref="A1:C1"/>
  </mergeCells>
  <pageMargins left="1" right="1" top="1" bottom="1" header="0.25" footer="0.25"/>
  <pageSetup orientation="portrait"/>
  <headerFooter>
    <oddHeader/>
    <oddFooter>&amp;C&amp;"Helvetica Neue,Regular"&amp;11 &amp;K000000&amp;P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37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3" sqref="B3"/>
    </sheetView>
  </sheetViews>
  <sheetFormatPr baseColWidth="8" defaultColWidth="16.28515625" defaultRowHeight="19.9" customHeight="1"/>
  <cols>
    <col width="16.28515625" customWidth="1" style="36" min="1" max="4"/>
    <col width="16.28515625" customWidth="1" style="36" min="5" max="16384"/>
  </cols>
  <sheetData>
    <row r="1" ht="30.95" customHeight="1" s="41">
      <c r="A1" s="40" t="inlineStr">
        <is>
          <t>表格 1</t>
        </is>
      </c>
    </row>
    <row r="2" ht="22.5" customHeight="1" s="41">
      <c r="A2" s="15" t="inlineStr">
        <is>
          <t>时间</t>
        </is>
      </c>
      <c r="B2" s="15" t="inlineStr">
        <is>
          <t>粒细胞</t>
        </is>
      </c>
      <c r="C2" s="25" t="n"/>
    </row>
    <row r="3" ht="20.25" customHeight="1" s="41">
      <c r="A3" s="44" t="n">
        <v>46050</v>
      </c>
      <c r="B3" s="27" t="n">
        <v>9.640000000000001</v>
      </c>
      <c r="C3" s="37" t="n"/>
    </row>
    <row r="4" ht="20.1" customHeight="1" s="41">
      <c r="A4" s="45" t="n">
        <v>46053</v>
      </c>
      <c r="B4" s="30" t="n">
        <v>5.69</v>
      </c>
      <c r="C4" s="38" t="n"/>
    </row>
    <row r="5" ht="20.1" customHeight="1" s="41">
      <c r="A5" s="45" t="n">
        <v>46056</v>
      </c>
      <c r="B5" s="30" t="n">
        <v>3.54</v>
      </c>
      <c r="C5" s="38" t="n"/>
    </row>
    <row r="6" ht="20.1" customHeight="1" s="41">
      <c r="A6" s="45" t="n">
        <v>46059</v>
      </c>
      <c r="B6" s="30" t="n">
        <v>4.53</v>
      </c>
      <c r="C6" s="38" t="n"/>
    </row>
    <row r="7" ht="20.1" customHeight="1" s="41">
      <c r="A7" s="45" t="n">
        <v>46062</v>
      </c>
      <c r="B7" s="30" t="n">
        <v>4.44</v>
      </c>
      <c r="C7" s="38" t="n"/>
    </row>
    <row r="8" ht="20.1" customHeight="1" s="41">
      <c r="A8" s="45" t="n">
        <v>46063</v>
      </c>
      <c r="B8" s="30" t="n">
        <v>6.04</v>
      </c>
      <c r="C8" s="38" t="n"/>
    </row>
    <row r="9" ht="20.1" customHeight="1" s="41">
      <c r="A9" s="45" t="n">
        <v>46066</v>
      </c>
      <c r="B9" s="30" t="n">
        <v>4.85</v>
      </c>
      <c r="C9" s="38" t="n"/>
    </row>
    <row r="10" ht="22.35" customHeight="1" s="41">
      <c r="A10" s="45" t="n">
        <v>46071</v>
      </c>
      <c r="B10" s="30" t="n">
        <v>2.97</v>
      </c>
      <c r="C10" s="32" t="inlineStr">
        <is>
          <t>海南外院</t>
        </is>
      </c>
    </row>
    <row r="11" ht="22.35" customHeight="1" s="41">
      <c r="A11" s="45" t="n">
        <v>46073</v>
      </c>
      <c r="B11" s="30" t="n">
        <v>2.64</v>
      </c>
      <c r="C11" s="32" t="inlineStr">
        <is>
          <t>海南外院</t>
        </is>
      </c>
    </row>
    <row r="12" ht="20.1" customHeight="1" s="41">
      <c r="A12" s="45" t="n">
        <v>46078</v>
      </c>
      <c r="B12" s="30" t="n">
        <v>2.41</v>
      </c>
      <c r="C12" s="38" t="n"/>
    </row>
    <row r="13" ht="22.35" customHeight="1" s="41">
      <c r="A13" s="45" t="n">
        <v>46079</v>
      </c>
      <c r="B13" s="30" t="n">
        <v>2.44</v>
      </c>
      <c r="C13" s="32" t="inlineStr">
        <is>
          <t>社康指尖采血</t>
        </is>
      </c>
    </row>
    <row r="14" ht="22.35" customHeight="1" s="41">
      <c r="A14" s="45" t="n">
        <v>46080</v>
      </c>
      <c r="B14" s="30" t="n">
        <v>2.26</v>
      </c>
      <c r="C14" s="32" t="inlineStr">
        <is>
          <t>社康指尖采血</t>
        </is>
      </c>
    </row>
    <row r="15" ht="22.35" customHeight="1" s="41">
      <c r="A15" s="45" t="n">
        <v>46081</v>
      </c>
      <c r="B15" s="30" t="n">
        <v>2.22</v>
      </c>
      <c r="C15" s="32" t="inlineStr">
        <is>
          <t>社康指尖采血</t>
        </is>
      </c>
    </row>
    <row r="16" ht="22.35" customHeight="1" s="41">
      <c r="A16" s="45" t="n">
        <v>46082</v>
      </c>
      <c r="B16" s="30" t="n">
        <v>1.72</v>
      </c>
      <c r="C16" s="32" t="inlineStr">
        <is>
          <t>深圳外院</t>
        </is>
      </c>
    </row>
    <row r="17" ht="22.35" customHeight="1" s="41">
      <c r="A17" s="45" t="n">
        <v>46083</v>
      </c>
      <c r="B17" s="30" t="n">
        <v>1.53</v>
      </c>
      <c r="C17" s="32" t="inlineStr">
        <is>
          <t>深圳外院</t>
        </is>
      </c>
    </row>
    <row r="18" ht="22.35" customHeight="1" s="41">
      <c r="A18" s="45" t="n">
        <v>46084</v>
      </c>
      <c r="B18" s="30" t="n">
        <v>1.28</v>
      </c>
      <c r="C18" s="32" t="inlineStr">
        <is>
          <t>社康指尖采血</t>
        </is>
      </c>
    </row>
    <row r="19" ht="20.1" customHeight="1" s="41">
      <c r="A19" s="45" t="n">
        <v>46086</v>
      </c>
      <c r="B19" s="30" t="n">
        <v>1.09</v>
      </c>
      <c r="C19" s="38" t="n"/>
    </row>
    <row r="20" ht="20.1" customHeight="1" s="41">
      <c r="A20" s="45" t="n">
        <v>46087</v>
      </c>
      <c r="B20" s="30" t="n">
        <v>0.66</v>
      </c>
      <c r="C20" s="38" t="n"/>
    </row>
    <row r="21" ht="20.1" customHeight="1" s="41">
      <c r="A21" s="45" t="n">
        <v>46088</v>
      </c>
      <c r="B21" s="30" t="n">
        <v>0.42</v>
      </c>
      <c r="C21" s="38" t="n"/>
    </row>
    <row r="22" ht="20.1" customHeight="1" s="41">
      <c r="A22" s="45" t="n">
        <v>46089</v>
      </c>
      <c r="B22" s="30" t="n">
        <v>0.23</v>
      </c>
      <c r="C22" s="38" t="n"/>
    </row>
    <row r="23" ht="20.1" customHeight="1" s="41">
      <c r="A23" s="45" t="n">
        <v>46090</v>
      </c>
      <c r="B23" s="30" t="n">
        <v>0.26</v>
      </c>
      <c r="C23" s="38" t="n"/>
    </row>
    <row r="24" ht="20.1" customHeight="1" s="41">
      <c r="A24" s="45" t="n">
        <v>46092</v>
      </c>
      <c r="B24" s="30" t="n">
        <v>0.3</v>
      </c>
      <c r="C24" s="38" t="n"/>
    </row>
    <row r="25" ht="20.1" customHeight="1" s="41">
      <c r="A25" s="45" t="n">
        <v>46093</v>
      </c>
      <c r="B25" s="30" t="n">
        <v>0.33</v>
      </c>
      <c r="C25" s="38" t="n"/>
    </row>
    <row r="26" ht="20.1" customHeight="1" s="41">
      <c r="A26" s="45" t="n">
        <v>46095</v>
      </c>
      <c r="B26" s="30" t="n">
        <v>0.52</v>
      </c>
      <c r="C26" s="38" t="n"/>
    </row>
    <row r="27" ht="20.1" customHeight="1" s="41">
      <c r="A27" s="45" t="n">
        <v>46096</v>
      </c>
      <c r="B27" s="30" t="n">
        <v>0.82</v>
      </c>
      <c r="C27" s="38" t="n"/>
    </row>
    <row r="28" ht="20.1" customHeight="1" s="41">
      <c r="A28" s="45" t="n">
        <v>46098</v>
      </c>
      <c r="B28" s="30" t="n">
        <v>0.75</v>
      </c>
      <c r="C28" s="38" t="n"/>
    </row>
    <row r="29" ht="20.1" customHeight="1" s="41">
      <c r="A29" s="45" t="n">
        <v>46099</v>
      </c>
      <c r="B29" s="30" t="n">
        <v>0.7</v>
      </c>
      <c r="C29" s="38" t="n"/>
    </row>
    <row r="30" ht="20.1" customHeight="1" s="41">
      <c r="A30" s="45" t="n">
        <v>46101</v>
      </c>
      <c r="B30" s="30" t="n">
        <v>1.08</v>
      </c>
      <c r="C30" s="38" t="n"/>
    </row>
    <row r="31" ht="20.1" customHeight="1" s="41">
      <c r="A31" s="45" t="n">
        <v>46102</v>
      </c>
      <c r="B31" s="30" t="n">
        <v>1.2</v>
      </c>
      <c r="C31" s="38" t="n"/>
    </row>
    <row r="32" ht="20.1" customHeight="1" s="41">
      <c r="A32" s="45" t="n">
        <v>46103</v>
      </c>
      <c r="B32" s="30" t="n">
        <v>1.58</v>
      </c>
      <c r="C32" s="38" t="n"/>
    </row>
    <row r="33" ht="20.1" customHeight="1" s="41">
      <c r="A33" s="45" t="n">
        <v>46105</v>
      </c>
      <c r="B33" s="30" t="n">
        <v>2.62</v>
      </c>
      <c r="C33" s="38" t="n"/>
    </row>
    <row r="34" ht="20.1" customHeight="1" s="41">
      <c r="A34" s="45" t="n">
        <v>46106</v>
      </c>
      <c r="B34" s="30" t="n">
        <v>5.04</v>
      </c>
      <c r="C34" s="38" t="n"/>
    </row>
    <row r="35" ht="20.1" customHeight="1" s="41">
      <c r="A35" s="45" t="n">
        <v>46107</v>
      </c>
      <c r="B35" s="30" t="n">
        <v>3.02</v>
      </c>
      <c r="C35" s="38" t="n"/>
    </row>
    <row r="36" ht="20.1" customHeight="1" s="41">
      <c r="A36" s="45" t="n">
        <v>46108</v>
      </c>
      <c r="B36" s="30" t="n">
        <v>1.18</v>
      </c>
      <c r="C36" s="38" t="n"/>
    </row>
    <row r="37" ht="20.1" customHeight="1" s="41">
      <c r="A37" s="45" t="n">
        <v>46110</v>
      </c>
      <c r="B37" s="30" t="n">
        <v>7.41</v>
      </c>
      <c r="C37" s="38" t="n"/>
    </row>
  </sheetData>
  <mergeCells count="1">
    <mergeCell ref="A1:C1"/>
  </mergeCells>
  <pageMargins left="1" right="1" top="1" bottom="1" header="0.25" footer="0.25"/>
  <pageSetup orientation="portrait"/>
  <headerFooter>
    <oddHeader/>
    <oddFooter>&amp;C&amp;"Helvetica Neue,Regular"&amp;11 &amp;K000000&amp;P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37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3" sqref="B3"/>
    </sheetView>
  </sheetViews>
  <sheetFormatPr baseColWidth="8" defaultColWidth="16.28515625" defaultRowHeight="19.9" customHeight="1"/>
  <cols>
    <col width="16.28515625" customWidth="1" style="36" min="1" max="4"/>
    <col width="16.28515625" customWidth="1" style="36" min="5" max="16384"/>
  </cols>
  <sheetData>
    <row r="1" ht="30.95" customHeight="1" s="41">
      <c r="A1" s="40" t="inlineStr">
        <is>
          <t>表格 1</t>
        </is>
      </c>
    </row>
    <row r="2" ht="22.5" customHeight="1" s="41">
      <c r="A2" s="15" t="inlineStr">
        <is>
          <t>时间</t>
        </is>
      </c>
      <c r="B2" s="15" t="inlineStr">
        <is>
          <t>血小板</t>
        </is>
      </c>
      <c r="C2" s="25" t="n"/>
    </row>
    <row r="3" ht="20.25" customHeight="1" s="41">
      <c r="A3" s="44" t="n">
        <v>46050</v>
      </c>
      <c r="B3" s="27" t="n">
        <v>204</v>
      </c>
      <c r="C3" s="37" t="n"/>
    </row>
    <row r="4" ht="20.1" customHeight="1" s="41">
      <c r="A4" s="45" t="n">
        <v>46053</v>
      </c>
      <c r="B4" s="30" t="n">
        <v>179</v>
      </c>
      <c r="C4" s="38" t="n"/>
    </row>
    <row r="5" ht="20.1" customHeight="1" s="41">
      <c r="A5" s="45" t="n">
        <v>46056</v>
      </c>
      <c r="B5" s="30" t="n">
        <v>180</v>
      </c>
      <c r="C5" s="38" t="n"/>
    </row>
    <row r="6" ht="20.1" customHeight="1" s="41">
      <c r="A6" s="45" t="n">
        <v>46059</v>
      </c>
      <c r="B6" s="30" t="n">
        <v>166</v>
      </c>
      <c r="C6" s="38" t="n"/>
    </row>
    <row r="7" ht="20.1" customHeight="1" s="41">
      <c r="A7" s="45" t="n">
        <v>46062</v>
      </c>
      <c r="B7" s="30" t="n">
        <v>150</v>
      </c>
      <c r="C7" s="38" t="n"/>
    </row>
    <row r="8" ht="20.1" customHeight="1" s="41">
      <c r="A8" s="45" t="n">
        <v>46063</v>
      </c>
      <c r="B8" s="30" t="n">
        <v>122</v>
      </c>
      <c r="C8" s="38" t="n"/>
    </row>
    <row r="9" ht="20.1" customHeight="1" s="41">
      <c r="A9" s="45" t="n">
        <v>46066</v>
      </c>
      <c r="B9" s="30" t="n">
        <v>88</v>
      </c>
      <c r="C9" s="38" t="n"/>
    </row>
    <row r="10" ht="22.35" customHeight="1" s="41">
      <c r="A10" s="45" t="n">
        <v>46071</v>
      </c>
      <c r="B10" s="30" t="n">
        <v>49</v>
      </c>
      <c r="C10" s="32" t="inlineStr">
        <is>
          <t>海南外院</t>
        </is>
      </c>
    </row>
    <row r="11" ht="22.35" customHeight="1" s="41">
      <c r="A11" s="45" t="n">
        <v>46073</v>
      </c>
      <c r="B11" s="30" t="n">
        <v>39</v>
      </c>
      <c r="C11" s="32" t="inlineStr">
        <is>
          <t>海南外院</t>
        </is>
      </c>
    </row>
    <row r="12" ht="20.1" customHeight="1" s="41">
      <c r="A12" s="45" t="n">
        <v>46078</v>
      </c>
      <c r="B12" s="30" t="n">
        <v>17</v>
      </c>
      <c r="C12" s="38" t="n"/>
    </row>
    <row r="13" ht="22.35" customHeight="1" s="41">
      <c r="A13" s="45" t="n">
        <v>46079</v>
      </c>
      <c r="B13" s="30" t="n">
        <v>26</v>
      </c>
      <c r="C13" s="32" t="inlineStr">
        <is>
          <t>社康指尖采血</t>
        </is>
      </c>
    </row>
    <row r="14" ht="22.35" customHeight="1" s="41">
      <c r="A14" s="45" t="n">
        <v>46080</v>
      </c>
      <c r="B14" s="30" t="n">
        <v>26</v>
      </c>
      <c r="C14" s="32" t="inlineStr">
        <is>
          <t>社康指尖采血</t>
        </is>
      </c>
    </row>
    <row r="15" ht="22.35" customHeight="1" s="41">
      <c r="A15" s="45" t="n">
        <v>46081</v>
      </c>
      <c r="B15" s="30" t="n">
        <v>20</v>
      </c>
      <c r="C15" s="32" t="inlineStr">
        <is>
          <t>社康指尖采血</t>
        </is>
      </c>
    </row>
    <row r="16" ht="22.35" customHeight="1" s="41">
      <c r="A16" s="45" t="n">
        <v>46082</v>
      </c>
      <c r="B16" s="30" t="n">
        <v>11</v>
      </c>
      <c r="C16" s="32" t="inlineStr">
        <is>
          <t>深圳外院</t>
        </is>
      </c>
    </row>
    <row r="17" ht="22.35" customHeight="1" s="41">
      <c r="A17" s="45" t="n">
        <v>46083</v>
      </c>
      <c r="B17" s="30" t="n">
        <v>11</v>
      </c>
      <c r="C17" s="32" t="inlineStr">
        <is>
          <t>深圳外院</t>
        </is>
      </c>
    </row>
    <row r="18" ht="22.35" customHeight="1" s="41">
      <c r="A18" s="45" t="n">
        <v>46084</v>
      </c>
      <c r="B18" s="30" t="n">
        <v>28</v>
      </c>
      <c r="C18" s="32" t="inlineStr">
        <is>
          <t>社康指尖采血</t>
        </is>
      </c>
    </row>
    <row r="19" ht="20.1" customHeight="1" s="41">
      <c r="A19" s="45" t="n">
        <v>46086</v>
      </c>
      <c r="B19" s="30" t="n">
        <v>6</v>
      </c>
      <c r="C19" s="38" t="n"/>
    </row>
    <row r="20" ht="20.1" customHeight="1" s="41">
      <c r="A20" s="45" t="n">
        <v>46087</v>
      </c>
      <c r="B20" s="30" t="n">
        <v>59</v>
      </c>
      <c r="C20" s="38" t="n"/>
    </row>
    <row r="21" ht="20.1" customHeight="1" s="41">
      <c r="A21" s="45" t="n">
        <v>46088</v>
      </c>
      <c r="B21" s="30" t="n">
        <v>45</v>
      </c>
      <c r="C21" s="38" t="n"/>
    </row>
    <row r="22" ht="20.1" customHeight="1" s="41">
      <c r="A22" s="45" t="n">
        <v>46089</v>
      </c>
      <c r="B22" s="30" t="n">
        <v>27</v>
      </c>
      <c r="C22" s="38" t="n"/>
    </row>
    <row r="23" ht="20.1" customHeight="1" s="41">
      <c r="A23" s="45" t="n">
        <v>46090</v>
      </c>
      <c r="B23" s="30" t="n">
        <v>46</v>
      </c>
      <c r="C23" s="38" t="n"/>
    </row>
    <row r="24" ht="20.1" customHeight="1" s="41">
      <c r="A24" s="45" t="n">
        <v>46092</v>
      </c>
      <c r="B24" s="30" t="n">
        <v>21</v>
      </c>
      <c r="C24" s="38" t="n"/>
    </row>
    <row r="25" ht="20.1" customHeight="1" s="41">
      <c r="A25" s="45" t="n">
        <v>46093</v>
      </c>
      <c r="B25" s="30" t="n">
        <v>43</v>
      </c>
      <c r="C25" s="38" t="n"/>
    </row>
    <row r="26" ht="20.1" customHeight="1" s="41">
      <c r="A26" s="45" t="n">
        <v>46095</v>
      </c>
      <c r="B26" s="30" t="n">
        <v>22</v>
      </c>
      <c r="C26" s="38" t="n"/>
    </row>
    <row r="27" ht="20.1" customHeight="1" s="41">
      <c r="A27" s="45" t="n">
        <v>46096</v>
      </c>
      <c r="B27" s="30" t="n">
        <v>51</v>
      </c>
      <c r="C27" s="38" t="n"/>
    </row>
    <row r="28" ht="20.1" customHeight="1" s="41">
      <c r="A28" s="45" t="n">
        <v>46098</v>
      </c>
      <c r="B28" s="30" t="n">
        <v>23</v>
      </c>
      <c r="C28" s="38" t="n"/>
    </row>
    <row r="29" ht="20.1" customHeight="1" s="41">
      <c r="A29" s="45" t="n">
        <v>46099</v>
      </c>
      <c r="B29" s="30" t="n">
        <v>56</v>
      </c>
      <c r="C29" s="38" t="n"/>
    </row>
    <row r="30" ht="20.1" customHeight="1" s="41">
      <c r="A30" s="45" t="n">
        <v>46101</v>
      </c>
      <c r="B30" s="30" t="n">
        <v>28</v>
      </c>
      <c r="C30" s="38" t="n"/>
    </row>
    <row r="31" ht="20.1" customHeight="1" s="41">
      <c r="A31" s="45" t="n">
        <v>46102</v>
      </c>
      <c r="B31" s="30" t="n">
        <v>18</v>
      </c>
      <c r="C31" s="38" t="n"/>
    </row>
    <row r="32" ht="20.1" customHeight="1" s="41">
      <c r="A32" s="45" t="n">
        <v>46103</v>
      </c>
      <c r="B32" s="30" t="n">
        <v>53</v>
      </c>
      <c r="C32" s="38" t="n"/>
    </row>
    <row r="33" ht="20.1" customHeight="1" s="41">
      <c r="A33" s="45" t="n">
        <v>46105</v>
      </c>
      <c r="B33" s="30" t="n">
        <v>33</v>
      </c>
      <c r="C33" s="38" t="n"/>
    </row>
    <row r="34" ht="20.1" customHeight="1" s="41">
      <c r="A34" s="45" t="n">
        <v>46106</v>
      </c>
      <c r="B34" s="30" t="n">
        <v>27</v>
      </c>
      <c r="C34" s="38" t="n"/>
    </row>
    <row r="35" ht="20.1" customHeight="1" s="41">
      <c r="A35" s="45" t="n">
        <v>46107</v>
      </c>
      <c r="B35" s="30" t="n">
        <v>27</v>
      </c>
      <c r="C35" s="38" t="n"/>
    </row>
    <row r="36" ht="20.1" customHeight="1" s="41">
      <c r="A36" s="45" t="n">
        <v>46108</v>
      </c>
      <c r="B36" s="30" t="n">
        <v>49</v>
      </c>
      <c r="C36" s="38" t="n"/>
    </row>
    <row r="37" ht="20.1" customHeight="1" s="41">
      <c r="A37" s="45" t="n">
        <v>46110</v>
      </c>
      <c r="B37" s="30" t="n">
        <v>36</v>
      </c>
      <c r="C37" s="38" t="n"/>
    </row>
  </sheetData>
  <mergeCells count="1">
    <mergeCell ref="A1:C1"/>
  </mergeCells>
  <pageMargins left="1" right="1" top="1" bottom="1" header="0.25" footer="0.25"/>
  <pageSetup orientation="portrait"/>
  <headerFooter>
    <oddHeader/>
    <oddFooter>&amp;C&amp;"Helvetica Neue,Regular"&amp;11 &amp;K000000&amp;P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D37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C3" sqref="C3"/>
    </sheetView>
  </sheetViews>
  <sheetFormatPr baseColWidth="8" defaultColWidth="16.28515625" defaultRowHeight="19.9" customHeight="1"/>
  <cols>
    <col width="3.5703125" customWidth="1" style="36" min="1" max="1"/>
    <col width="16.28515625" customWidth="1" style="36" min="2" max="5"/>
    <col width="16.28515625" customWidth="1" style="36" min="6" max="16384"/>
  </cols>
  <sheetData>
    <row r="1" ht="30.95" customHeight="1" s="41">
      <c r="B1" s="40" t="inlineStr">
        <is>
          <t>表格 1</t>
        </is>
      </c>
    </row>
    <row r="2" ht="22.5" customHeight="1" s="41">
      <c r="B2" s="15" t="inlineStr">
        <is>
          <t>时间</t>
        </is>
      </c>
      <c r="C2" s="15" t="inlineStr">
        <is>
          <t>血红蛋白</t>
        </is>
      </c>
      <c r="D2" s="25" t="n"/>
    </row>
    <row r="3" ht="20.25" customHeight="1" s="41">
      <c r="B3" s="44" t="n">
        <v>46050</v>
      </c>
      <c r="C3" s="27" t="n">
        <v>118</v>
      </c>
      <c r="D3" s="37" t="n"/>
    </row>
    <row r="4" ht="20.1" customHeight="1" s="41">
      <c r="B4" s="45" t="n">
        <v>46053</v>
      </c>
      <c r="C4" s="30" t="n">
        <v>113</v>
      </c>
      <c r="D4" s="38" t="n"/>
    </row>
    <row r="5" ht="20.1" customHeight="1" s="41">
      <c r="B5" s="45" t="n">
        <v>46056</v>
      </c>
      <c r="C5" s="30" t="n">
        <v>114</v>
      </c>
      <c r="D5" s="38" t="n"/>
    </row>
    <row r="6" ht="20.1" customHeight="1" s="41">
      <c r="B6" s="45" t="n">
        <v>46059</v>
      </c>
      <c r="C6" s="30" t="n">
        <v>118</v>
      </c>
      <c r="D6" s="38" t="n"/>
    </row>
    <row r="7" ht="20.1" customHeight="1" s="41">
      <c r="B7" s="45" t="n">
        <v>46062</v>
      </c>
      <c r="C7" s="30" t="n">
        <v>124</v>
      </c>
      <c r="D7" s="38" t="n"/>
    </row>
    <row r="8" ht="20.1" customHeight="1" s="41">
      <c r="B8" s="45" t="n">
        <v>46063</v>
      </c>
      <c r="C8" s="30" t="n">
        <v>116</v>
      </c>
      <c r="D8" s="38" t="n"/>
    </row>
    <row r="9" ht="20.1" customHeight="1" s="41">
      <c r="B9" s="45" t="n">
        <v>46066</v>
      </c>
      <c r="C9" s="30" t="n">
        <v>111</v>
      </c>
      <c r="D9" s="38" t="n"/>
    </row>
    <row r="10" ht="22.35" customHeight="1" s="41">
      <c r="B10" s="45" t="n">
        <v>46071</v>
      </c>
      <c r="C10" s="30" t="n">
        <v>120</v>
      </c>
      <c r="D10" s="32" t="inlineStr">
        <is>
          <t>海南外院</t>
        </is>
      </c>
    </row>
    <row r="11" ht="22.35" customHeight="1" s="41">
      <c r="B11" s="45" t="n">
        <v>46073</v>
      </c>
      <c r="C11" s="30" t="n">
        <v>113</v>
      </c>
      <c r="D11" s="32" t="inlineStr">
        <is>
          <t>海南外院</t>
        </is>
      </c>
    </row>
    <row r="12" ht="20.1" customHeight="1" s="41">
      <c r="B12" s="45" t="n">
        <v>46078</v>
      </c>
      <c r="C12" s="30" t="n">
        <v>109</v>
      </c>
      <c r="D12" s="38" t="n"/>
    </row>
    <row r="13" ht="22.35" customHeight="1" s="41">
      <c r="B13" s="45" t="n">
        <v>46079</v>
      </c>
      <c r="C13" s="30" t="n">
        <v>109</v>
      </c>
      <c r="D13" s="32" t="inlineStr">
        <is>
          <t>社康指尖采血</t>
        </is>
      </c>
    </row>
    <row r="14" ht="22.35" customHeight="1" s="41">
      <c r="B14" s="45" t="n">
        <v>46080</v>
      </c>
      <c r="C14" s="30" t="n">
        <v>110</v>
      </c>
      <c r="D14" s="32" t="inlineStr">
        <is>
          <t>社康指尖采血</t>
        </is>
      </c>
    </row>
    <row r="15" ht="22.35" customHeight="1" s="41">
      <c r="B15" s="45" t="n">
        <v>46081</v>
      </c>
      <c r="C15" s="30" t="n">
        <v>109</v>
      </c>
      <c r="D15" s="32" t="inlineStr">
        <is>
          <t>社康指尖采血</t>
        </is>
      </c>
    </row>
    <row r="16" ht="22.35" customHeight="1" s="41">
      <c r="B16" s="45" t="n">
        <v>46082</v>
      </c>
      <c r="C16" s="30" t="n">
        <v>98</v>
      </c>
      <c r="D16" s="32" t="inlineStr">
        <is>
          <t>深圳外院</t>
        </is>
      </c>
    </row>
    <row r="17" ht="22.35" customHeight="1" s="41">
      <c r="B17" s="45" t="n">
        <v>46083</v>
      </c>
      <c r="C17" s="30" t="n">
        <v>97</v>
      </c>
      <c r="D17" s="32" t="inlineStr">
        <is>
          <t>深圳外院</t>
        </is>
      </c>
    </row>
    <row r="18" ht="22.35" customHeight="1" s="41">
      <c r="B18" s="45" t="n">
        <v>46084</v>
      </c>
      <c r="C18" s="30" t="n">
        <v>110</v>
      </c>
      <c r="D18" s="32" t="inlineStr">
        <is>
          <t>社康指尖采血</t>
        </is>
      </c>
    </row>
    <row r="19" ht="20.1" customHeight="1" s="41">
      <c r="B19" s="45" t="n">
        <v>46086</v>
      </c>
      <c r="C19" s="30" t="n">
        <v>95</v>
      </c>
      <c r="D19" s="38" t="n"/>
    </row>
    <row r="20" ht="20.1" customHeight="1" s="41">
      <c r="B20" s="45" t="n">
        <v>46087</v>
      </c>
      <c r="C20" s="30" t="n">
        <v>92</v>
      </c>
      <c r="D20" s="38" t="n"/>
    </row>
    <row r="21" ht="20.1" customHeight="1" s="41">
      <c r="B21" s="45" t="n">
        <v>46088</v>
      </c>
      <c r="C21" s="30" t="n">
        <v>89</v>
      </c>
      <c r="D21" s="38" t="n"/>
    </row>
    <row r="22" ht="20.1" customHeight="1" s="41">
      <c r="B22" s="45" t="n">
        <v>46089</v>
      </c>
      <c r="C22" s="30" t="n">
        <v>83</v>
      </c>
      <c r="D22" s="38" t="n"/>
    </row>
    <row r="23" ht="20.1" customHeight="1" s="41">
      <c r="B23" s="45" t="n">
        <v>46090</v>
      </c>
      <c r="C23" s="30" t="n">
        <v>84</v>
      </c>
      <c r="D23" s="38" t="n"/>
    </row>
    <row r="24" ht="20.1" customHeight="1" s="41">
      <c r="B24" s="45" t="n">
        <v>46092</v>
      </c>
      <c r="C24" s="30" t="n">
        <v>81</v>
      </c>
      <c r="D24" s="38" t="n"/>
    </row>
    <row r="25" ht="20.1" customHeight="1" s="41">
      <c r="B25" s="45" t="n">
        <v>46093</v>
      </c>
      <c r="C25" s="30" t="n">
        <v>80</v>
      </c>
      <c r="D25" s="38" t="n"/>
    </row>
    <row r="26" ht="20.1" customHeight="1" s="41">
      <c r="B26" s="45" t="n">
        <v>46095</v>
      </c>
      <c r="C26" s="30" t="n">
        <v>71</v>
      </c>
      <c r="D26" s="38" t="n"/>
    </row>
    <row r="27" ht="20.1" customHeight="1" s="41">
      <c r="B27" s="45" t="n">
        <v>46096</v>
      </c>
      <c r="C27" s="30" t="n">
        <v>77</v>
      </c>
      <c r="D27" s="38" t="n"/>
    </row>
    <row r="28" ht="20.1" customHeight="1" s="41">
      <c r="B28" s="45" t="n">
        <v>46098</v>
      </c>
      <c r="C28" s="30" t="n">
        <v>70</v>
      </c>
      <c r="D28" s="38" t="n"/>
    </row>
    <row r="29" ht="20.1" customHeight="1" s="41">
      <c r="B29" s="45" t="n">
        <v>46099</v>
      </c>
      <c r="C29" s="30" t="n">
        <v>69</v>
      </c>
      <c r="D29" s="38" t="n"/>
    </row>
    <row r="30" ht="20.1" customHeight="1" s="41">
      <c r="B30" s="45" t="n">
        <v>46101</v>
      </c>
      <c r="C30" s="30" t="n">
        <v>65</v>
      </c>
      <c r="D30" s="38" t="n"/>
    </row>
    <row r="31" ht="20.1" customHeight="1" s="41">
      <c r="B31" s="45" t="n">
        <v>46102</v>
      </c>
      <c r="C31" s="30" t="n">
        <v>65</v>
      </c>
      <c r="D31" s="38" t="n"/>
    </row>
    <row r="32" ht="20.1" customHeight="1" s="41">
      <c r="B32" s="45" t="n">
        <v>46103</v>
      </c>
      <c r="C32" s="30" t="n">
        <v>64</v>
      </c>
      <c r="D32" s="38" t="n"/>
    </row>
    <row r="33" ht="20.1" customHeight="1" s="41">
      <c r="B33" s="45" t="n">
        <v>46105</v>
      </c>
      <c r="C33" s="30" t="n">
        <v>62</v>
      </c>
      <c r="D33" s="38" t="n"/>
    </row>
    <row r="34" ht="20.1" customHeight="1" s="41">
      <c r="B34" s="45" t="n">
        <v>46106</v>
      </c>
      <c r="C34" s="30" t="n">
        <v>74</v>
      </c>
      <c r="D34" s="38" t="n"/>
    </row>
    <row r="35" ht="20.1" customHeight="1" s="41">
      <c r="B35" s="45" t="n">
        <v>46107</v>
      </c>
      <c r="C35" s="30" t="n">
        <v>67</v>
      </c>
      <c r="D35" s="38" t="n"/>
    </row>
    <row r="36" ht="20.1" customHeight="1" s="41">
      <c r="B36" s="45" t="n">
        <v>46108</v>
      </c>
      <c r="C36" s="30" t="n">
        <v>62</v>
      </c>
      <c r="D36" s="38" t="n"/>
    </row>
    <row r="37" ht="20.1" customHeight="1" s="41">
      <c r="B37" s="45" t="n">
        <v>46110</v>
      </c>
      <c r="C37" s="30" t="n">
        <v>62</v>
      </c>
      <c r="D37" s="38" t="n"/>
    </row>
  </sheetData>
  <mergeCells count="1">
    <mergeCell ref="B1:D1"/>
  </mergeCells>
  <pageMargins left="1" right="1" top="1" bottom="1" header="0.25" footer="0.25"/>
  <pageSetup orientation="portrait"/>
  <headerFooter>
    <oddHeader/>
    <oddFooter>&amp;C&amp;"Helvetica Neue,Regular"&amp;11 &amp;K000000&amp;P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G38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C4" sqref="C4"/>
    </sheetView>
  </sheetViews>
  <sheetFormatPr baseColWidth="8" defaultColWidth="16.28515625" defaultRowHeight="19.9" customHeight="1"/>
  <cols>
    <col width="20.28515625" customWidth="1" style="36" min="1" max="1"/>
    <col width="16.28515625" customWidth="1" style="36" min="2" max="8"/>
    <col width="16.28515625" customWidth="1" style="36" min="9" max="16384"/>
  </cols>
  <sheetData>
    <row r="1" ht="170.85" customHeight="1" s="41"/>
    <row r="2" ht="30.95" customHeight="1" s="41">
      <c r="B2" s="40" t="inlineStr">
        <is>
          <t>表格 1</t>
        </is>
      </c>
    </row>
    <row r="3" ht="22.5" customHeight="1" s="41">
      <c r="B3" s="15" t="inlineStr">
        <is>
          <t>时间</t>
        </is>
      </c>
      <c r="C3" s="15" t="inlineStr">
        <is>
          <t>白细胞</t>
        </is>
      </c>
      <c r="D3" s="15" t="inlineStr">
        <is>
          <t>粒细胞</t>
        </is>
      </c>
      <c r="E3" s="15" t="inlineStr">
        <is>
          <t>血小板</t>
        </is>
      </c>
      <c r="F3" s="15" t="inlineStr">
        <is>
          <t>血红蛋白</t>
        </is>
      </c>
      <c r="G3" s="25" t="n"/>
    </row>
    <row r="4" ht="20.25" customHeight="1" s="41">
      <c r="B4" s="44" t="n">
        <v>46050</v>
      </c>
      <c r="C4" s="27" t="n">
        <v>10.94</v>
      </c>
      <c r="D4" s="37" t="n">
        <v>9.640000000000001</v>
      </c>
      <c r="E4" s="37" t="n">
        <v>204</v>
      </c>
      <c r="F4" s="37" t="n">
        <v>118</v>
      </c>
      <c r="G4" s="37" t="n"/>
    </row>
    <row r="5" ht="20.1" customHeight="1" s="41">
      <c r="B5" s="45" t="n">
        <v>46053</v>
      </c>
      <c r="C5" s="30" t="n">
        <v>8.24</v>
      </c>
      <c r="D5" s="38" t="n">
        <v>5.69</v>
      </c>
      <c r="E5" s="38" t="n">
        <v>179</v>
      </c>
      <c r="F5" s="38" t="n">
        <v>113</v>
      </c>
      <c r="G5" s="38" t="n"/>
    </row>
    <row r="6" ht="20.1" customHeight="1" s="41">
      <c r="B6" s="45" t="n">
        <v>46056</v>
      </c>
      <c r="C6" s="30" t="n">
        <v>5.45</v>
      </c>
      <c r="D6" s="38" t="n">
        <v>3.54</v>
      </c>
      <c r="E6" s="38" t="n">
        <v>180</v>
      </c>
      <c r="F6" s="38" t="n">
        <v>114</v>
      </c>
      <c r="G6" s="38" t="n"/>
    </row>
    <row r="7" ht="20.1" customHeight="1" s="41">
      <c r="B7" s="45" t="n">
        <v>46059</v>
      </c>
      <c r="C7" s="30" t="n">
        <v>6.8</v>
      </c>
      <c r="D7" s="38" t="n">
        <v>4.53</v>
      </c>
      <c r="E7" s="38" t="n">
        <v>166</v>
      </c>
      <c r="F7" s="38" t="n">
        <v>118</v>
      </c>
      <c r="G7" s="38" t="n"/>
    </row>
    <row r="8" ht="20.1" customHeight="1" s="41">
      <c r="B8" s="45" t="n">
        <v>46062</v>
      </c>
      <c r="C8" s="30" t="n">
        <v>6.42</v>
      </c>
      <c r="D8" s="38" t="n">
        <v>4.44</v>
      </c>
      <c r="E8" s="38" t="n">
        <v>150</v>
      </c>
      <c r="F8" s="38" t="n">
        <v>124</v>
      </c>
      <c r="G8" s="38" t="n"/>
    </row>
    <row r="9" ht="20.1" customHeight="1" s="41">
      <c r="B9" s="45" t="n">
        <v>46063</v>
      </c>
      <c r="C9" s="30" t="n">
        <v>8.33</v>
      </c>
      <c r="D9" s="38" t="n">
        <v>6.04</v>
      </c>
      <c r="E9" s="38" t="n">
        <v>122</v>
      </c>
      <c r="F9" s="38" t="n">
        <v>116</v>
      </c>
      <c r="G9" s="38" t="n"/>
    </row>
    <row r="10" ht="20.1" customHeight="1" s="41">
      <c r="B10" s="45" t="n">
        <v>46066</v>
      </c>
      <c r="C10" s="30" t="n">
        <v>8.57</v>
      </c>
      <c r="D10" s="38" t="n">
        <v>4.85</v>
      </c>
      <c r="E10" s="38" t="n">
        <v>88</v>
      </c>
      <c r="F10" s="38" t="n">
        <v>111</v>
      </c>
      <c r="G10" s="38" t="n"/>
    </row>
    <row r="11" ht="22.35" customHeight="1" s="41">
      <c r="B11" s="45" t="n">
        <v>46071</v>
      </c>
      <c r="C11" s="30" t="n">
        <v>10.12</v>
      </c>
      <c r="D11" s="38" t="n">
        <v>2.97</v>
      </c>
      <c r="E11" s="38" t="n">
        <v>49</v>
      </c>
      <c r="F11" s="38" t="n">
        <v>120</v>
      </c>
      <c r="G11" s="32" t="inlineStr">
        <is>
          <t>海南外院</t>
        </is>
      </c>
    </row>
    <row r="12" ht="22.35" customHeight="1" s="41">
      <c r="B12" s="45" t="n">
        <v>46073</v>
      </c>
      <c r="C12" s="30" t="n">
        <v>9.94</v>
      </c>
      <c r="D12" s="38" t="n">
        <v>2.64</v>
      </c>
      <c r="E12" s="38" t="n">
        <v>39</v>
      </c>
      <c r="F12" s="38" t="n">
        <v>113</v>
      </c>
      <c r="G12" s="32" t="inlineStr">
        <is>
          <t>海南外院</t>
        </is>
      </c>
    </row>
    <row r="13" ht="20.1" customHeight="1" s="41">
      <c r="B13" s="45" t="n">
        <v>46078</v>
      </c>
      <c r="C13" s="30" t="n">
        <v>6.61</v>
      </c>
      <c r="D13" s="38" t="n">
        <v>2.41</v>
      </c>
      <c r="E13" s="38" t="n">
        <v>17</v>
      </c>
      <c r="F13" s="38" t="n">
        <v>109</v>
      </c>
      <c r="G13" s="38" t="n"/>
    </row>
    <row r="14" ht="22.35" customHeight="1" s="41">
      <c r="B14" s="45" t="n">
        <v>46079</v>
      </c>
      <c r="C14" s="30" t="n">
        <v>5.81</v>
      </c>
      <c r="D14" s="38" t="n">
        <v>2.44</v>
      </c>
      <c r="E14" s="38" t="n">
        <v>26</v>
      </c>
      <c r="F14" s="38" t="n">
        <v>109</v>
      </c>
      <c r="G14" s="32" t="inlineStr">
        <is>
          <t>社康指尖采血</t>
        </is>
      </c>
    </row>
    <row r="15" ht="22.35" customHeight="1" s="41">
      <c r="B15" s="45" t="n">
        <v>46080</v>
      </c>
      <c r="C15" s="30" t="n">
        <v>6.05</v>
      </c>
      <c r="D15" s="38" t="n">
        <v>2.26</v>
      </c>
      <c r="E15" s="38" t="n">
        <v>26</v>
      </c>
      <c r="F15" s="38" t="n">
        <v>110</v>
      </c>
      <c r="G15" s="32" t="inlineStr">
        <is>
          <t>社康指尖采血</t>
        </is>
      </c>
    </row>
    <row r="16" ht="22.35" customHeight="1" s="41">
      <c r="B16" s="45" t="n">
        <v>46081</v>
      </c>
      <c r="C16" s="30" t="n">
        <v>5.98</v>
      </c>
      <c r="D16" s="38" t="n">
        <v>2.22</v>
      </c>
      <c r="E16" s="38" t="n">
        <v>20</v>
      </c>
      <c r="F16" s="38" t="n">
        <v>109</v>
      </c>
      <c r="G16" s="32" t="inlineStr">
        <is>
          <t>社康指尖采血</t>
        </is>
      </c>
    </row>
    <row r="17" ht="22.35" customHeight="1" s="41">
      <c r="B17" s="45" t="n">
        <v>46082</v>
      </c>
      <c r="C17" s="30" t="n">
        <v>5.3</v>
      </c>
      <c r="D17" s="38" t="n">
        <v>1.72</v>
      </c>
      <c r="E17" s="38" t="n">
        <v>11</v>
      </c>
      <c r="F17" s="38" t="n">
        <v>98</v>
      </c>
      <c r="G17" s="32" t="inlineStr">
        <is>
          <t>深圳外院</t>
        </is>
      </c>
    </row>
    <row r="18" ht="22.35" customHeight="1" s="41">
      <c r="B18" s="45" t="n">
        <v>46083</v>
      </c>
      <c r="C18" s="30" t="n">
        <v>4.96</v>
      </c>
      <c r="D18" s="38" t="n">
        <v>1.53</v>
      </c>
      <c r="E18" s="38" t="n">
        <v>11</v>
      </c>
      <c r="F18" s="38" t="n">
        <v>97</v>
      </c>
      <c r="G18" s="32" t="inlineStr">
        <is>
          <t>深圳外院</t>
        </is>
      </c>
    </row>
    <row r="19" ht="22.35" customHeight="1" s="41">
      <c r="B19" s="45" t="n">
        <v>46084</v>
      </c>
      <c r="C19" s="30" t="n">
        <v>5.23</v>
      </c>
      <c r="D19" s="38" t="n">
        <v>1.28</v>
      </c>
      <c r="E19" s="38" t="n">
        <v>28</v>
      </c>
      <c r="F19" s="38" t="n">
        <v>110</v>
      </c>
      <c r="G19" s="32" t="inlineStr">
        <is>
          <t>社康指尖采血</t>
        </is>
      </c>
    </row>
    <row r="20" ht="20.1" customHeight="1" s="41">
      <c r="B20" s="45" t="n">
        <v>46086</v>
      </c>
      <c r="C20" s="30" t="n">
        <v>4.81</v>
      </c>
      <c r="D20" s="38" t="n">
        <v>1.09</v>
      </c>
      <c r="E20" s="38" t="n">
        <v>6</v>
      </c>
      <c r="F20" s="38" t="n">
        <v>95</v>
      </c>
      <c r="G20" s="38" t="n"/>
    </row>
    <row r="21" ht="20.1" customHeight="1" s="41">
      <c r="B21" s="45" t="n">
        <v>46087</v>
      </c>
      <c r="C21" s="30" t="n">
        <v>3.11</v>
      </c>
      <c r="D21" s="38" t="n">
        <v>0.66</v>
      </c>
      <c r="E21" s="38" t="n">
        <v>59</v>
      </c>
      <c r="F21" s="38" t="n">
        <v>92</v>
      </c>
      <c r="G21" s="38" t="n"/>
    </row>
    <row r="22" ht="20.1" customHeight="1" s="41">
      <c r="B22" s="45" t="n">
        <v>46088</v>
      </c>
      <c r="C22" s="30" t="n">
        <v>3.11</v>
      </c>
      <c r="D22" s="38" t="n">
        <v>0.42</v>
      </c>
      <c r="E22" s="38" t="n">
        <v>45</v>
      </c>
      <c r="F22" s="38" t="n">
        <v>89</v>
      </c>
      <c r="G22" s="38" t="n"/>
    </row>
    <row r="23" ht="20.1" customHeight="1" s="41">
      <c r="B23" s="45" t="n">
        <v>46089</v>
      </c>
      <c r="C23" s="30" t="n">
        <v>3.44</v>
      </c>
      <c r="D23" s="38" t="n">
        <v>0.23</v>
      </c>
      <c r="E23" s="38" t="n">
        <v>27</v>
      </c>
      <c r="F23" s="38" t="n">
        <v>83</v>
      </c>
      <c r="G23" s="38" t="n"/>
    </row>
    <row r="24" ht="20.1" customHeight="1" s="41">
      <c r="B24" s="45" t="n">
        <v>46090</v>
      </c>
      <c r="C24" s="30" t="n">
        <v>3.14</v>
      </c>
      <c r="D24" s="38" t="n">
        <v>0.26</v>
      </c>
      <c r="E24" s="38" t="n">
        <v>46</v>
      </c>
      <c r="F24" s="38" t="n">
        <v>84</v>
      </c>
      <c r="G24" s="38" t="n"/>
    </row>
    <row r="25" ht="20.1" customHeight="1" s="41">
      <c r="B25" s="45" t="n">
        <v>46092</v>
      </c>
      <c r="C25" s="30" t="n">
        <v>3.13</v>
      </c>
      <c r="D25" s="38" t="n">
        <v>0.3</v>
      </c>
      <c r="E25" s="38" t="n">
        <v>21</v>
      </c>
      <c r="F25" s="38" t="n">
        <v>81</v>
      </c>
      <c r="G25" s="38" t="n"/>
    </row>
    <row r="26" ht="20.1" customHeight="1" s="41">
      <c r="B26" s="45" t="n">
        <v>46093</v>
      </c>
      <c r="C26" s="30" t="n">
        <v>2.09</v>
      </c>
      <c r="D26" s="38" t="n">
        <v>0.33</v>
      </c>
      <c r="E26" s="38" t="n">
        <v>43</v>
      </c>
      <c r="F26" s="38" t="n">
        <v>80</v>
      </c>
      <c r="G26" s="38" t="n"/>
    </row>
    <row r="27" ht="20.1" customHeight="1" s="41">
      <c r="B27" s="45" t="n">
        <v>46095</v>
      </c>
      <c r="C27" s="30" t="n">
        <v>2.91</v>
      </c>
      <c r="D27" s="38" t="n">
        <v>0.52</v>
      </c>
      <c r="E27" s="38" t="n">
        <v>22</v>
      </c>
      <c r="F27" s="38" t="n">
        <v>71</v>
      </c>
      <c r="G27" s="38" t="n"/>
    </row>
    <row r="28" ht="20.1" customHeight="1" s="41">
      <c r="B28" s="45" t="n">
        <v>46096</v>
      </c>
      <c r="C28" s="30" t="n">
        <v>2.92</v>
      </c>
      <c r="D28" s="38" t="n">
        <v>0.82</v>
      </c>
      <c r="E28" s="38" t="n">
        <v>51</v>
      </c>
      <c r="F28" s="38" t="n">
        <v>77</v>
      </c>
      <c r="G28" s="38" t="n"/>
    </row>
    <row r="29" ht="20.1" customHeight="1" s="41">
      <c r="B29" s="45" t="n">
        <v>46098</v>
      </c>
      <c r="C29" s="30" t="n">
        <v>3.43</v>
      </c>
      <c r="D29" s="38" t="n">
        <v>0.75</v>
      </c>
      <c r="E29" s="38" t="n">
        <v>23</v>
      </c>
      <c r="F29" s="38" t="n">
        <v>70</v>
      </c>
      <c r="G29" s="38" t="n"/>
    </row>
    <row r="30" ht="20.1" customHeight="1" s="41">
      <c r="B30" s="45" t="n">
        <v>46099</v>
      </c>
      <c r="C30" s="30" t="n">
        <v>3.66</v>
      </c>
      <c r="D30" s="38" t="n">
        <v>0.7</v>
      </c>
      <c r="E30" s="38" t="n">
        <v>56</v>
      </c>
      <c r="F30" s="38" t="n">
        <v>69</v>
      </c>
      <c r="G30" s="38" t="n"/>
    </row>
    <row r="31" ht="20.1" customHeight="1" s="41">
      <c r="B31" s="45" t="n">
        <v>46101</v>
      </c>
      <c r="C31" s="30" t="n">
        <v>3.92</v>
      </c>
      <c r="D31" s="38" t="n">
        <v>1.08</v>
      </c>
      <c r="E31" s="38" t="n">
        <v>28</v>
      </c>
      <c r="F31" s="38" t="n">
        <v>65</v>
      </c>
      <c r="G31" s="38" t="n"/>
    </row>
    <row r="32" ht="20.1" customHeight="1" s="41">
      <c r="B32" s="45" t="n">
        <v>46102</v>
      </c>
      <c r="C32" s="30" t="n">
        <v>4.42</v>
      </c>
      <c r="D32" s="38" t="n">
        <v>1.2</v>
      </c>
      <c r="E32" s="38" t="n">
        <v>18</v>
      </c>
      <c r="F32" s="38" t="n">
        <v>65</v>
      </c>
      <c r="G32" s="38" t="n"/>
    </row>
    <row r="33" ht="20.1" customHeight="1" s="41">
      <c r="B33" s="45" t="n">
        <v>46103</v>
      </c>
      <c r="C33" s="30" t="n">
        <v>4.72</v>
      </c>
      <c r="D33" s="38" t="n">
        <v>1.58</v>
      </c>
      <c r="E33" s="38" t="n">
        <v>53</v>
      </c>
      <c r="F33" s="38" t="n">
        <v>64</v>
      </c>
      <c r="G33" s="38" t="n"/>
    </row>
    <row r="34" ht="20.1" customHeight="1" s="41">
      <c r="B34" s="45" t="n">
        <v>46105</v>
      </c>
      <c r="C34" s="30" t="n">
        <v>6.59</v>
      </c>
      <c r="D34" s="38" t="n">
        <v>2.62</v>
      </c>
      <c r="E34" s="38" t="n">
        <v>33</v>
      </c>
      <c r="F34" s="38" t="n">
        <v>62</v>
      </c>
      <c r="G34" s="38" t="n"/>
    </row>
    <row r="35" ht="20.1" customHeight="1" s="41">
      <c r="B35" s="45" t="n">
        <v>46106</v>
      </c>
      <c r="C35" s="30" t="n">
        <v>8.529999999999999</v>
      </c>
      <c r="D35" s="38" t="n">
        <v>5.04</v>
      </c>
      <c r="E35" s="38" t="n">
        <v>27</v>
      </c>
      <c r="F35" s="38" t="n">
        <v>74</v>
      </c>
      <c r="G35" s="38" t="n"/>
    </row>
    <row r="36" ht="20.1" customHeight="1" s="41">
      <c r="B36" s="45" t="n">
        <v>46107</v>
      </c>
      <c r="C36" s="30" t="n">
        <v>6.22</v>
      </c>
      <c r="D36" s="38" t="n">
        <v>3.02</v>
      </c>
      <c r="E36" s="38" t="n">
        <v>27</v>
      </c>
      <c r="F36" s="38" t="n">
        <v>67</v>
      </c>
      <c r="G36" s="38" t="n"/>
    </row>
    <row r="37" ht="20.1" customHeight="1" s="41">
      <c r="B37" s="45" t="n">
        <v>46108</v>
      </c>
      <c r="C37" s="30" t="n">
        <v>4.16</v>
      </c>
      <c r="D37" s="38" t="n">
        <v>1.18</v>
      </c>
      <c r="E37" s="38" t="n">
        <v>49</v>
      </c>
      <c r="F37" s="38" t="n">
        <v>62</v>
      </c>
      <c r="G37" s="38" t="n"/>
    </row>
    <row r="38" ht="20.1" customHeight="1" s="41">
      <c r="B38" s="45" t="n">
        <v>46110</v>
      </c>
      <c r="C38" s="30" t="n">
        <v>11.79</v>
      </c>
      <c r="D38" s="38" t="n">
        <v>7.41</v>
      </c>
      <c r="E38" s="38" t="n">
        <v>36</v>
      </c>
      <c r="F38" s="38" t="n">
        <v>62</v>
      </c>
      <c r="G38" s="38" t="n"/>
    </row>
  </sheetData>
  <mergeCells count="1">
    <mergeCell ref="B2:G2"/>
  </mergeCells>
  <pageMargins left="1" right="1" top="1" bottom="1" header="0.25" footer="0.25"/>
  <pageSetup orientation="portrait"/>
  <headerFooter>
    <oddHeader/>
    <oddFooter>&amp;C&amp;"Helvetica Neue,Regular"&amp;11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2026-09-26T01:05:25Z</dcterms:created>
  <dcterms:modified xmlns:dcterms="http://purl.org/dc/terms/" xmlns:xsi="http://www.w3.org/2001/XMLSchema-instance" xsi:type="dcterms:W3CDTF">2026-09-26T01:05:25Z</dcterms:modified>
  <cp:lastModifiedBy>dunli kuang</cp:lastModifiedBy>
</cp:coreProperties>
</file>